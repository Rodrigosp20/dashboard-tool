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7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8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0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11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Bruno\OneDrive\Ambiente de Trabalho\STREAM\dashboard-tool\"/>
    </mc:Choice>
  </mc:AlternateContent>
  <xr:revisionPtr revIDLastSave="0" documentId="13_ncr:1_{52E9FA57-3674-46CA-A919-06098C6AD540}" xr6:coauthVersionLast="47" xr6:coauthVersionMax="47" xr10:uidLastSave="{00000000-0000-0000-0000-000000000000}"/>
  <bookViews>
    <workbookView xWindow="-108" yWindow="-108" windowWidth="23256" windowHeight="12456" tabRatio="628" firstSheet="6" activeTab="6" xr2:uid="{E635A9AC-F29E-4BE1-9FFE-05F762A4CE8B}"/>
  </bookViews>
  <sheets>
    <sheet name="Demonstração de Resultados" sheetId="1" r:id="rId1"/>
    <sheet name="Balanço" sheetId="2" r:id="rId2"/>
    <sheet name="Indicadores" sheetId="3" r:id="rId3"/>
    <sheet name="Dados do Setor" sheetId="5" r:id="rId4"/>
    <sheet name="Comparação" sheetId="4" r:id="rId5"/>
    <sheet name="Índice" sheetId="40" r:id="rId6"/>
    <sheet name="Dashboard índice" sheetId="39" r:id="rId7"/>
    <sheet name="Dashboard rentabilidade" sheetId="44" r:id="rId8"/>
    <sheet name="Backend dashboard rentabilidade" sheetId="43" r:id="rId9"/>
    <sheet name="Rúbricas BP Todas as dimensões" sheetId="25" r:id="rId10"/>
    <sheet name="Rúbricas BP Dimensão aplicável" sheetId="42" r:id="rId11"/>
    <sheet name="Taxa de VAB na CAE" sheetId="33" r:id="rId12"/>
    <sheet name="Rentabilidade Dashboard 1" sheetId="26" r:id="rId13"/>
    <sheet name="backend dashboard" sheetId="29" r:id="rId14"/>
    <sheet name="Rentabilidade do Negócio" sheetId="7" r:id="rId15"/>
    <sheet name="Operacionais" sheetId="8" r:id="rId16"/>
    <sheet name="Liquidez" sheetId="9" r:id="rId17"/>
    <sheet name="Financeiros" sheetId="11" r:id="rId18"/>
    <sheet name="Retorno" sheetId="10" r:id="rId19"/>
    <sheet name="Sheet1" sheetId="45" r:id="rId20"/>
  </sheets>
  <functionGroups builtInGroupCount="19"/>
  <definedNames>
    <definedName name="_xlnm.Print_Area" localSheetId="12">'Rentabilidade Dashboard 1'!$A$1:$P$33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4" l="1"/>
  <c r="C35" i="1"/>
  <c r="O9" i="29"/>
  <c r="O8" i="29"/>
  <c r="I12" i="29"/>
  <c r="I13" i="29"/>
  <c r="F18" i="29"/>
  <c r="E17" i="29"/>
  <c r="X72" i="43"/>
  <c r="AU16" i="43"/>
  <c r="AN47" i="43"/>
  <c r="J89" i="43"/>
  <c r="J91" i="43"/>
  <c r="J93" i="43" s="1"/>
  <c r="J98" i="43"/>
  <c r="K109" i="43"/>
  <c r="J100" i="43"/>
  <c r="K91" i="43"/>
  <c r="K89" i="43"/>
  <c r="K90" i="43"/>
  <c r="E101" i="43"/>
  <c r="E104" i="43" s="1"/>
  <c r="J102" i="43"/>
  <c r="J109" i="43"/>
  <c r="G51" i="5"/>
  <c r="F51" i="5"/>
  <c r="E51" i="5"/>
  <c r="D51" i="5"/>
  <c r="C51" i="5"/>
  <c r="G21" i="5"/>
  <c r="F21" i="5"/>
  <c r="E21" i="5"/>
  <c r="D21" i="5"/>
  <c r="C21" i="5"/>
  <c r="AR49" i="43"/>
  <c r="AQ49" i="43"/>
  <c r="AP49" i="43"/>
  <c r="AO49" i="43"/>
  <c r="AN49" i="43"/>
  <c r="AR42" i="43"/>
  <c r="AQ42" i="43"/>
  <c r="AP42" i="43"/>
  <c r="AO42" i="43"/>
  <c r="AN42" i="43"/>
  <c r="AR74" i="43"/>
  <c r="AQ74" i="43"/>
  <c r="AP74" i="43"/>
  <c r="AO74" i="43"/>
  <c r="AN74" i="43"/>
  <c r="AR67" i="43"/>
  <c r="AQ67" i="43"/>
  <c r="AP67" i="43"/>
  <c r="AO67" i="43"/>
  <c r="AN67" i="43"/>
  <c r="AR60" i="43"/>
  <c r="AQ60" i="43"/>
  <c r="AP60" i="43"/>
  <c r="AO60" i="43"/>
  <c r="AN60" i="43"/>
  <c r="AR55" i="43"/>
  <c r="AQ55" i="43"/>
  <c r="AP55" i="43"/>
  <c r="AO55" i="43"/>
  <c r="AN55" i="43"/>
  <c r="O14" i="43"/>
  <c r="D110" i="43"/>
  <c r="D113" i="43" s="1"/>
  <c r="H110" i="43"/>
  <c r="H113" i="43" s="1"/>
  <c r="G110" i="43"/>
  <c r="G113" i="43" s="1"/>
  <c r="F110" i="43"/>
  <c r="F113" i="43" s="1"/>
  <c r="M107" i="43"/>
  <c r="M108" i="43" s="1"/>
  <c r="M98" i="43"/>
  <c r="M99" i="43" s="1"/>
  <c r="M100" i="43" s="1"/>
  <c r="M89" i="43"/>
  <c r="M90" i="43" s="1"/>
  <c r="M80" i="43"/>
  <c r="M81" i="43" s="1"/>
  <c r="M82" i="43" s="1"/>
  <c r="M71" i="43"/>
  <c r="M72" i="43" s="1"/>
  <c r="M73" i="43" s="1"/>
  <c r="M62" i="43"/>
  <c r="M63" i="43" s="1"/>
  <c r="M53" i="43"/>
  <c r="M54" i="43" s="1"/>
  <c r="M55" i="43" s="1"/>
  <c r="M44" i="43"/>
  <c r="M45" i="43" s="1"/>
  <c r="M46" i="43" s="1"/>
  <c r="H112" i="43"/>
  <c r="J107" i="43" s="1"/>
  <c r="G112" i="43"/>
  <c r="F112" i="43"/>
  <c r="E112" i="43"/>
  <c r="D112" i="43"/>
  <c r="H111" i="43"/>
  <c r="G111" i="43"/>
  <c r="F111" i="43"/>
  <c r="E111" i="43"/>
  <c r="D111" i="43"/>
  <c r="E110" i="43"/>
  <c r="E113" i="43" s="1"/>
  <c r="H109" i="43"/>
  <c r="G109" i="43"/>
  <c r="F109" i="43"/>
  <c r="E109" i="43"/>
  <c r="D109" i="43"/>
  <c r="H108" i="43"/>
  <c r="K108" i="43" s="1"/>
  <c r="G108" i="43"/>
  <c r="F108" i="43"/>
  <c r="E108" i="43"/>
  <c r="D108" i="43"/>
  <c r="H107" i="43"/>
  <c r="K107" i="43" s="1"/>
  <c r="G107" i="43"/>
  <c r="F107" i="43"/>
  <c r="E107" i="43"/>
  <c r="D107" i="43"/>
  <c r="H103" i="43"/>
  <c r="G103" i="43"/>
  <c r="F103" i="43"/>
  <c r="E103" i="43"/>
  <c r="D103" i="43"/>
  <c r="H102" i="43"/>
  <c r="G102" i="43"/>
  <c r="F102" i="43"/>
  <c r="E102" i="43"/>
  <c r="D102" i="43"/>
  <c r="H101" i="43"/>
  <c r="H104" i="43" s="1"/>
  <c r="G101" i="43"/>
  <c r="G104" i="43" s="1"/>
  <c r="F101" i="43"/>
  <c r="F104" i="43" s="1"/>
  <c r="D101" i="43"/>
  <c r="D104" i="43" s="1"/>
  <c r="H100" i="43"/>
  <c r="K100" i="43" s="1"/>
  <c r="G100" i="43"/>
  <c r="F100" i="43"/>
  <c r="E100" i="43"/>
  <c r="D100" i="43"/>
  <c r="H99" i="43"/>
  <c r="K99" i="43" s="1"/>
  <c r="G99" i="43"/>
  <c r="F99" i="43"/>
  <c r="E99" i="43"/>
  <c r="D99" i="43"/>
  <c r="H98" i="43"/>
  <c r="K98" i="43" s="1"/>
  <c r="G98" i="43"/>
  <c r="F98" i="43"/>
  <c r="E98" i="43"/>
  <c r="D98" i="43"/>
  <c r="H94" i="43"/>
  <c r="G94" i="43"/>
  <c r="F94" i="43"/>
  <c r="E94" i="43"/>
  <c r="D94" i="43"/>
  <c r="H93" i="43"/>
  <c r="G93" i="43"/>
  <c r="F93" i="43"/>
  <c r="E93" i="43"/>
  <c r="D93" i="43"/>
  <c r="H92" i="43"/>
  <c r="H95" i="43" s="1"/>
  <c r="G92" i="43"/>
  <c r="G95" i="43" s="1"/>
  <c r="F92" i="43"/>
  <c r="F95" i="43" s="1"/>
  <c r="E92" i="43"/>
  <c r="E95" i="43" s="1"/>
  <c r="D92" i="43"/>
  <c r="D95" i="43" s="1"/>
  <c r="H91" i="43"/>
  <c r="G91" i="43"/>
  <c r="F91" i="43"/>
  <c r="E91" i="43"/>
  <c r="D91" i="43"/>
  <c r="H90" i="43"/>
  <c r="G90" i="43"/>
  <c r="F90" i="43"/>
  <c r="E90" i="43"/>
  <c r="D90" i="43"/>
  <c r="H89" i="43"/>
  <c r="G89" i="43"/>
  <c r="F89" i="43"/>
  <c r="E89" i="43"/>
  <c r="D89" i="43"/>
  <c r="H85" i="43"/>
  <c r="J80" i="43" s="1"/>
  <c r="G85" i="43"/>
  <c r="F85" i="43"/>
  <c r="E85" i="43"/>
  <c r="D85" i="43"/>
  <c r="H84" i="43"/>
  <c r="G84" i="43"/>
  <c r="F84" i="43"/>
  <c r="E84" i="43"/>
  <c r="D84" i="43"/>
  <c r="H83" i="43"/>
  <c r="H86" i="43" s="1"/>
  <c r="G83" i="43"/>
  <c r="G86" i="43" s="1"/>
  <c r="F83" i="43"/>
  <c r="F86" i="43" s="1"/>
  <c r="E83" i="43"/>
  <c r="E86" i="43" s="1"/>
  <c r="D83" i="43"/>
  <c r="D86" i="43" s="1"/>
  <c r="H82" i="43"/>
  <c r="K82" i="43" s="1"/>
  <c r="G82" i="43"/>
  <c r="F82" i="43"/>
  <c r="E82" i="43"/>
  <c r="D82" i="43"/>
  <c r="H81" i="43"/>
  <c r="K81" i="43" s="1"/>
  <c r="G81" i="43"/>
  <c r="F81" i="43"/>
  <c r="E81" i="43"/>
  <c r="D81" i="43"/>
  <c r="H80" i="43"/>
  <c r="K80" i="43" s="1"/>
  <c r="G80" i="43"/>
  <c r="F80" i="43"/>
  <c r="E80" i="43"/>
  <c r="D80" i="43"/>
  <c r="H67" i="43"/>
  <c r="J62" i="43" s="1"/>
  <c r="G67" i="43"/>
  <c r="F67" i="43"/>
  <c r="E67" i="43"/>
  <c r="D67" i="43"/>
  <c r="H66" i="43"/>
  <c r="G66" i="43"/>
  <c r="F66" i="43"/>
  <c r="E66" i="43"/>
  <c r="D66" i="43"/>
  <c r="H65" i="43"/>
  <c r="H68" i="43" s="1"/>
  <c r="G65" i="43"/>
  <c r="G68" i="43" s="1"/>
  <c r="F65" i="43"/>
  <c r="F68" i="43" s="1"/>
  <c r="E65" i="43"/>
  <c r="E68" i="43" s="1"/>
  <c r="D65" i="43"/>
  <c r="D68" i="43" s="1"/>
  <c r="H64" i="43"/>
  <c r="K64" i="43" s="1"/>
  <c r="G64" i="43"/>
  <c r="F64" i="43"/>
  <c r="E64" i="43"/>
  <c r="D64" i="43"/>
  <c r="H63" i="43"/>
  <c r="K63" i="43" s="1"/>
  <c r="G63" i="43"/>
  <c r="F63" i="43"/>
  <c r="E63" i="43"/>
  <c r="D63" i="43"/>
  <c r="H62" i="43"/>
  <c r="K62" i="43" s="1"/>
  <c r="G62" i="43"/>
  <c r="F62" i="43"/>
  <c r="E62" i="43"/>
  <c r="D62" i="43"/>
  <c r="H58" i="43"/>
  <c r="J53" i="43" s="1"/>
  <c r="G58" i="43"/>
  <c r="F58" i="43"/>
  <c r="E58" i="43"/>
  <c r="D58" i="43"/>
  <c r="H57" i="43"/>
  <c r="G57" i="43"/>
  <c r="F57" i="43"/>
  <c r="E57" i="43"/>
  <c r="D57" i="43"/>
  <c r="H56" i="43"/>
  <c r="H59" i="43" s="1"/>
  <c r="G56" i="43"/>
  <c r="G59" i="43" s="1"/>
  <c r="F56" i="43"/>
  <c r="F59" i="43" s="1"/>
  <c r="E56" i="43"/>
  <c r="E59" i="43" s="1"/>
  <c r="D56" i="43"/>
  <c r="D59" i="43" s="1"/>
  <c r="H55" i="43"/>
  <c r="K55" i="43" s="1"/>
  <c r="G55" i="43"/>
  <c r="F55" i="43"/>
  <c r="E55" i="43"/>
  <c r="D55" i="43"/>
  <c r="H54" i="43"/>
  <c r="K54" i="43" s="1"/>
  <c r="G54" i="43"/>
  <c r="F54" i="43"/>
  <c r="E54" i="43"/>
  <c r="D54" i="43"/>
  <c r="H53" i="43"/>
  <c r="K53" i="43" s="1"/>
  <c r="G53" i="43"/>
  <c r="F53" i="43"/>
  <c r="E53" i="43"/>
  <c r="D53" i="43"/>
  <c r="H49" i="43"/>
  <c r="J44" i="43" s="1"/>
  <c r="G49" i="43"/>
  <c r="F49" i="43"/>
  <c r="E49" i="43"/>
  <c r="D49" i="43"/>
  <c r="H48" i="43"/>
  <c r="G48" i="43"/>
  <c r="F48" i="43"/>
  <c r="E48" i="43"/>
  <c r="D48" i="43"/>
  <c r="H47" i="43"/>
  <c r="H50" i="43" s="1"/>
  <c r="G47" i="43"/>
  <c r="G50" i="43" s="1"/>
  <c r="F47" i="43"/>
  <c r="F50" i="43" s="1"/>
  <c r="E47" i="43"/>
  <c r="E50" i="43" s="1"/>
  <c r="D47" i="43"/>
  <c r="D50" i="43" s="1"/>
  <c r="H46" i="43"/>
  <c r="K46" i="43" s="1"/>
  <c r="G46" i="43"/>
  <c r="F46" i="43"/>
  <c r="E46" i="43"/>
  <c r="D46" i="43"/>
  <c r="H45" i="43"/>
  <c r="K45" i="43" s="1"/>
  <c r="G45" i="43"/>
  <c r="F45" i="43"/>
  <c r="E45" i="43"/>
  <c r="D45" i="43"/>
  <c r="H44" i="43"/>
  <c r="K44" i="43" s="1"/>
  <c r="G44" i="43"/>
  <c r="F44" i="43"/>
  <c r="E44" i="43"/>
  <c r="D44" i="43"/>
  <c r="H76" i="43"/>
  <c r="J71" i="43" s="1"/>
  <c r="G76" i="43"/>
  <c r="F76" i="43"/>
  <c r="E76" i="43"/>
  <c r="D76" i="43"/>
  <c r="H75" i="43"/>
  <c r="G75" i="43"/>
  <c r="F75" i="43"/>
  <c r="E75" i="43"/>
  <c r="D75" i="43"/>
  <c r="H74" i="43"/>
  <c r="H77" i="43" s="1"/>
  <c r="G74" i="43"/>
  <c r="G77" i="43" s="1"/>
  <c r="F74" i="43"/>
  <c r="F77" i="43" s="1"/>
  <c r="E74" i="43"/>
  <c r="E77" i="43" s="1"/>
  <c r="D74" i="43"/>
  <c r="D77" i="43" s="1"/>
  <c r="H73" i="43"/>
  <c r="K73" i="43" s="1"/>
  <c r="G73" i="43"/>
  <c r="F73" i="43"/>
  <c r="E73" i="43"/>
  <c r="D73" i="43"/>
  <c r="H72" i="43"/>
  <c r="K72" i="43" s="1"/>
  <c r="G72" i="43"/>
  <c r="F72" i="43"/>
  <c r="E72" i="43"/>
  <c r="D72" i="43"/>
  <c r="H71" i="43"/>
  <c r="K71" i="43" s="1"/>
  <c r="G71" i="43"/>
  <c r="F71" i="43"/>
  <c r="E71" i="43"/>
  <c r="D71" i="43"/>
  <c r="H11" i="43"/>
  <c r="G11" i="43"/>
  <c r="F11" i="43"/>
  <c r="E11" i="43"/>
  <c r="D11" i="43"/>
  <c r="J90" i="43" l="1"/>
  <c r="X89" i="43" s="1"/>
  <c r="J108" i="43"/>
  <c r="X108" i="43" s="1"/>
  <c r="J63" i="43"/>
  <c r="X62" i="43" s="1"/>
  <c r="J54" i="43"/>
  <c r="X55" i="43" s="1"/>
  <c r="J81" i="43"/>
  <c r="X82" i="43" s="1"/>
  <c r="J99" i="43"/>
  <c r="X99" i="43" s="1"/>
  <c r="J72" i="43"/>
  <c r="J73" i="43"/>
  <c r="J75" i="43" s="1"/>
  <c r="J82" i="43"/>
  <c r="J84" i="43" s="1"/>
  <c r="M109" i="43"/>
  <c r="J111" i="43"/>
  <c r="M91" i="43"/>
  <c r="J64" i="43"/>
  <c r="J66" i="43" s="1"/>
  <c r="M64" i="43"/>
  <c r="J55" i="43"/>
  <c r="J57" i="43" s="1"/>
  <c r="J45" i="43"/>
  <c r="X44" i="43" s="1"/>
  <c r="J46" i="43"/>
  <c r="J48" i="43" s="1"/>
  <c r="O22" i="43" l="1"/>
  <c r="AZ35" i="43"/>
  <c r="AW35" i="43"/>
  <c r="AT35" i="43"/>
  <c r="AQ35" i="43"/>
  <c r="AN35" i="43"/>
  <c r="AZ34" i="43"/>
  <c r="AW34" i="43"/>
  <c r="AT34" i="43"/>
  <c r="AQ34" i="43"/>
  <c r="AN34" i="43"/>
  <c r="AZ33" i="43"/>
  <c r="AW33" i="43"/>
  <c r="AT33" i="43"/>
  <c r="AQ33" i="43"/>
  <c r="AN33" i="43"/>
  <c r="AZ32" i="43"/>
  <c r="AW32" i="43"/>
  <c r="AT32" i="43"/>
  <c r="AQ32" i="43"/>
  <c r="AN32" i="43"/>
  <c r="AZ31" i="43"/>
  <c r="AW31" i="43"/>
  <c r="AT31" i="43"/>
  <c r="AQ31" i="43"/>
  <c r="AN31" i="43"/>
  <c r="AZ30" i="43"/>
  <c r="AW30" i="43"/>
  <c r="AT30" i="43"/>
  <c r="AQ30" i="43"/>
  <c r="AN30" i="43"/>
  <c r="AZ29" i="43"/>
  <c r="AW29" i="43"/>
  <c r="AT29" i="43"/>
  <c r="AQ29" i="43"/>
  <c r="AN29" i="43"/>
  <c r="AZ28" i="43"/>
  <c r="AW28" i="43"/>
  <c r="AT28" i="43"/>
  <c r="AQ28" i="43"/>
  <c r="AN28" i="43"/>
  <c r="AZ27" i="43"/>
  <c r="AW27" i="43"/>
  <c r="AT27" i="43"/>
  <c r="AQ27" i="43"/>
  <c r="AN27" i="43"/>
  <c r="AZ26" i="43"/>
  <c r="AW26" i="43"/>
  <c r="AT26" i="43"/>
  <c r="AQ26" i="43"/>
  <c r="AN26" i="43"/>
  <c r="AZ25" i="43"/>
  <c r="AW25" i="43"/>
  <c r="AT25" i="43"/>
  <c r="AQ25" i="43"/>
  <c r="AN25" i="43"/>
  <c r="AZ24" i="43"/>
  <c r="AW24" i="43"/>
  <c r="AT24" i="43"/>
  <c r="AQ24" i="43"/>
  <c r="AN24" i="43"/>
  <c r="AZ23" i="43"/>
  <c r="AW23" i="43"/>
  <c r="AT23" i="43"/>
  <c r="AQ23" i="43"/>
  <c r="AN23" i="43"/>
  <c r="AZ22" i="43"/>
  <c r="AW22" i="43"/>
  <c r="AT22" i="43"/>
  <c r="AQ22" i="43"/>
  <c r="AN22" i="43"/>
  <c r="AZ21" i="43"/>
  <c r="AW21" i="43"/>
  <c r="AT21" i="43"/>
  <c r="AQ21" i="43"/>
  <c r="AN21" i="43"/>
  <c r="AZ20" i="43"/>
  <c r="AW20" i="43"/>
  <c r="AT20" i="43"/>
  <c r="AQ20" i="43"/>
  <c r="AN20" i="43"/>
  <c r="AZ19" i="43"/>
  <c r="AW19" i="43"/>
  <c r="AT19" i="43"/>
  <c r="AQ19" i="43"/>
  <c r="AN19" i="43"/>
  <c r="AZ18" i="43"/>
  <c r="AW18" i="43"/>
  <c r="AT18" i="43"/>
  <c r="AQ18" i="43"/>
  <c r="AN18" i="43"/>
  <c r="AZ17" i="43"/>
  <c r="AW17" i="43"/>
  <c r="AT17" i="43"/>
  <c r="AQ17" i="43"/>
  <c r="AN17" i="43"/>
  <c r="AZ16" i="43"/>
  <c r="AW16" i="43"/>
  <c r="AT16" i="43"/>
  <c r="AQ16" i="43"/>
  <c r="AN16" i="43"/>
  <c r="AZ15" i="43"/>
  <c r="AW15" i="43"/>
  <c r="AT15" i="43"/>
  <c r="AQ15" i="43"/>
  <c r="AN15" i="43"/>
  <c r="AZ14" i="43"/>
  <c r="AW14" i="43"/>
  <c r="AT14" i="43"/>
  <c r="AQ14" i="43"/>
  <c r="AN14" i="43"/>
  <c r="AZ13" i="43"/>
  <c r="AW13" i="43"/>
  <c r="AT13" i="43"/>
  <c r="AQ13" i="43"/>
  <c r="AN13" i="43"/>
  <c r="AR8" i="43"/>
  <c r="AQ8" i="43"/>
  <c r="AP8" i="43"/>
  <c r="AO8" i="43"/>
  <c r="AN8" i="43"/>
  <c r="G14" i="43"/>
  <c r="G15" i="43" s="1"/>
  <c r="G16" i="43" s="1"/>
  <c r="D14" i="43"/>
  <c r="H10" i="43"/>
  <c r="G10" i="43"/>
  <c r="F10" i="43"/>
  <c r="E10" i="43"/>
  <c r="D10" i="43"/>
  <c r="H9" i="43"/>
  <c r="G9" i="43"/>
  <c r="F9" i="43"/>
  <c r="E9" i="43"/>
  <c r="D9" i="43"/>
  <c r="H8" i="43"/>
  <c r="E16" i="43" s="1"/>
  <c r="G8" i="43"/>
  <c r="F8" i="43"/>
  <c r="E8" i="43"/>
  <c r="D8" i="43"/>
  <c r="H7" i="43"/>
  <c r="E15" i="43" s="1"/>
  <c r="G7" i="43"/>
  <c r="F7" i="43"/>
  <c r="E7" i="43"/>
  <c r="D7" i="43"/>
  <c r="H6" i="43"/>
  <c r="E14" i="43" s="1"/>
  <c r="G6" i="43"/>
  <c r="F6" i="43"/>
  <c r="E6" i="43"/>
  <c r="D6" i="43"/>
  <c r="G94" i="5"/>
  <c r="G93" i="5"/>
  <c r="G92" i="5"/>
  <c r="F94" i="5"/>
  <c r="F93" i="5"/>
  <c r="F92" i="5"/>
  <c r="E94" i="5"/>
  <c r="E93" i="5"/>
  <c r="E92" i="5"/>
  <c r="D94" i="5"/>
  <c r="D93" i="5"/>
  <c r="D92" i="5"/>
  <c r="C94" i="5"/>
  <c r="C93" i="5"/>
  <c r="C92" i="5"/>
  <c r="G72" i="5"/>
  <c r="G71" i="5"/>
  <c r="G70" i="5"/>
  <c r="F72" i="5"/>
  <c r="F71" i="5"/>
  <c r="F70" i="5"/>
  <c r="E72" i="5"/>
  <c r="E71" i="5"/>
  <c r="E70" i="5"/>
  <c r="D72" i="5"/>
  <c r="D71" i="5"/>
  <c r="D70" i="5"/>
  <c r="C72" i="5"/>
  <c r="C71" i="5"/>
  <c r="C70" i="5"/>
  <c r="D16" i="43" l="1"/>
  <c r="D18" i="43" s="1"/>
  <c r="D15" i="43"/>
  <c r="D110" i="4"/>
  <c r="F155" i="4"/>
  <c r="G155" i="4"/>
  <c r="H155" i="4"/>
  <c r="F152" i="4"/>
  <c r="G152" i="4"/>
  <c r="H152" i="4"/>
  <c r="F148" i="4"/>
  <c r="G148" i="4"/>
  <c r="H148" i="4"/>
  <c r="F145" i="4"/>
  <c r="G145" i="4"/>
  <c r="H145" i="4"/>
  <c r="F142" i="4"/>
  <c r="G142" i="4"/>
  <c r="H142" i="4"/>
  <c r="F139" i="4"/>
  <c r="G139" i="4"/>
  <c r="H139" i="4"/>
  <c r="F135" i="4"/>
  <c r="G135" i="4"/>
  <c r="H135" i="4"/>
  <c r="F132" i="4"/>
  <c r="G132" i="4"/>
  <c r="H132" i="4"/>
  <c r="F125" i="4"/>
  <c r="G125" i="4"/>
  <c r="H125" i="4"/>
  <c r="E125" i="4"/>
  <c r="D125" i="4"/>
  <c r="F45" i="4"/>
  <c r="G45" i="4"/>
  <c r="H45" i="4"/>
  <c r="D45" i="4"/>
  <c r="E45" i="4"/>
  <c r="C5" i="3"/>
  <c r="D5" i="3"/>
  <c r="E5" i="3"/>
  <c r="F5" i="3"/>
  <c r="G5" i="3"/>
  <c r="C6" i="3"/>
  <c r="D6" i="3"/>
  <c r="E6" i="3"/>
  <c r="F6" i="3"/>
  <c r="G6" i="3"/>
  <c r="C7" i="3"/>
  <c r="D7" i="3"/>
  <c r="E7" i="3"/>
  <c r="F7" i="3"/>
  <c r="G7" i="3"/>
  <c r="C8" i="3"/>
  <c r="D8" i="3"/>
  <c r="E8" i="3"/>
  <c r="F8" i="3"/>
  <c r="G8" i="3"/>
  <c r="C9" i="3"/>
  <c r="D9" i="3"/>
  <c r="E9" i="3"/>
  <c r="F9" i="3"/>
  <c r="G9" i="3"/>
  <c r="C11" i="3"/>
  <c r="D11" i="3"/>
  <c r="E11" i="3"/>
  <c r="F11" i="3"/>
  <c r="G11" i="3"/>
  <c r="C12" i="3"/>
  <c r="D12" i="3"/>
  <c r="E12" i="3"/>
  <c r="F12" i="3"/>
  <c r="G12" i="3"/>
  <c r="C13" i="3"/>
  <c r="D13" i="3"/>
  <c r="E13" i="3"/>
  <c r="F13" i="3"/>
  <c r="G13" i="3"/>
  <c r="C14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21" i="3"/>
  <c r="D21" i="3"/>
  <c r="E21" i="3"/>
  <c r="F21" i="3"/>
  <c r="G21" i="3"/>
  <c r="C22" i="3"/>
  <c r="D22" i="3"/>
  <c r="E22" i="3"/>
  <c r="F22" i="3"/>
  <c r="G22" i="3"/>
  <c r="C23" i="3"/>
  <c r="D23" i="3"/>
  <c r="E23" i="3"/>
  <c r="F23" i="3"/>
  <c r="G23" i="3"/>
  <c r="C25" i="3"/>
  <c r="D25" i="3"/>
  <c r="E25" i="3"/>
  <c r="F25" i="3"/>
  <c r="G25" i="3"/>
  <c r="C26" i="3"/>
  <c r="D26" i="3"/>
  <c r="E26" i="3"/>
  <c r="F26" i="3"/>
  <c r="G26" i="3"/>
  <c r="C27" i="3"/>
  <c r="D27" i="3"/>
  <c r="E27" i="3"/>
  <c r="F27" i="3"/>
  <c r="G27" i="3"/>
  <c r="C28" i="3"/>
  <c r="D28" i="3"/>
  <c r="E28" i="3"/>
  <c r="F28" i="3"/>
  <c r="G28" i="3"/>
  <c r="C30" i="3"/>
  <c r="D30" i="3"/>
  <c r="E30" i="3"/>
  <c r="F30" i="3"/>
  <c r="G30" i="3"/>
  <c r="C31" i="3"/>
  <c r="D31" i="3"/>
  <c r="E31" i="3"/>
  <c r="F31" i="3"/>
  <c r="G31" i="3"/>
  <c r="F129" i="4"/>
  <c r="G129" i="4"/>
  <c r="H129" i="4"/>
  <c r="F122" i="4"/>
  <c r="G122" i="4"/>
  <c r="H122" i="4"/>
  <c r="F119" i="4"/>
  <c r="G119" i="4"/>
  <c r="H119" i="4"/>
  <c r="F116" i="4"/>
  <c r="G116" i="4"/>
  <c r="H116" i="4"/>
  <c r="F113" i="4"/>
  <c r="G113" i="4"/>
  <c r="H113" i="4"/>
  <c r="F110" i="4"/>
  <c r="G110" i="4"/>
  <c r="H110" i="4"/>
  <c r="F107" i="4"/>
  <c r="G107" i="4"/>
  <c r="H107" i="4"/>
  <c r="F104" i="4"/>
  <c r="G104" i="4"/>
  <c r="H104" i="4"/>
  <c r="F101" i="4"/>
  <c r="G101" i="4"/>
  <c r="H101" i="4"/>
  <c r="F97" i="4"/>
  <c r="G97" i="4"/>
  <c r="H97" i="4"/>
  <c r="F94" i="4"/>
  <c r="G94" i="4"/>
  <c r="H94" i="4"/>
  <c r="F91" i="4"/>
  <c r="G91" i="4"/>
  <c r="H91" i="4"/>
  <c r="F88" i="4"/>
  <c r="G88" i="4"/>
  <c r="H88" i="4"/>
  <c r="F85" i="4"/>
  <c r="G85" i="4"/>
  <c r="H85" i="4"/>
  <c r="G106" i="5"/>
  <c r="G105" i="5"/>
  <c r="G104" i="5"/>
  <c r="G103" i="5"/>
  <c r="G102" i="5"/>
  <c r="G101" i="5"/>
  <c r="G100" i="5"/>
  <c r="G99" i="5"/>
  <c r="G98" i="5"/>
  <c r="G97" i="5"/>
  <c r="G96" i="5"/>
  <c r="G95" i="5"/>
  <c r="G91" i="5"/>
  <c r="G90" i="5"/>
  <c r="G89" i="5"/>
  <c r="F106" i="5"/>
  <c r="F105" i="5"/>
  <c r="F104" i="5"/>
  <c r="F103" i="5"/>
  <c r="F102" i="5"/>
  <c r="F101" i="5"/>
  <c r="F100" i="5"/>
  <c r="F99" i="5"/>
  <c r="F98" i="5"/>
  <c r="F97" i="5"/>
  <c r="F96" i="5"/>
  <c r="F95" i="5"/>
  <c r="F91" i="5"/>
  <c r="F90" i="5"/>
  <c r="F89" i="5"/>
  <c r="E106" i="5"/>
  <c r="E105" i="5"/>
  <c r="E104" i="5"/>
  <c r="E103" i="5"/>
  <c r="E102" i="5"/>
  <c r="E101" i="5"/>
  <c r="E100" i="5"/>
  <c r="E99" i="5"/>
  <c r="E98" i="5"/>
  <c r="E97" i="5"/>
  <c r="E96" i="5"/>
  <c r="E95" i="5"/>
  <c r="E91" i="5"/>
  <c r="E90" i="5"/>
  <c r="E89" i="5"/>
  <c r="D106" i="5"/>
  <c r="D105" i="5"/>
  <c r="D104" i="5"/>
  <c r="D103" i="5"/>
  <c r="D102" i="5"/>
  <c r="D101" i="5"/>
  <c r="D100" i="5"/>
  <c r="D99" i="5"/>
  <c r="D98" i="5"/>
  <c r="D97" i="5"/>
  <c r="D96" i="5"/>
  <c r="D95" i="5"/>
  <c r="D90" i="5"/>
  <c r="D91" i="5"/>
  <c r="D89" i="5"/>
  <c r="C106" i="5"/>
  <c r="C105" i="5"/>
  <c r="C104" i="5"/>
  <c r="C103" i="5"/>
  <c r="C102" i="5"/>
  <c r="C101" i="5"/>
  <c r="C100" i="5"/>
  <c r="C99" i="5"/>
  <c r="C98" i="5"/>
  <c r="C97" i="5"/>
  <c r="C96" i="5"/>
  <c r="C95" i="5"/>
  <c r="C91" i="5"/>
  <c r="C90" i="5"/>
  <c r="C89" i="5"/>
  <c r="G84" i="5"/>
  <c r="G83" i="5"/>
  <c r="G82" i="5"/>
  <c r="F84" i="5"/>
  <c r="F83" i="5"/>
  <c r="F82" i="5"/>
  <c r="E84" i="5"/>
  <c r="E83" i="5"/>
  <c r="E82" i="5"/>
  <c r="D84" i="5"/>
  <c r="D83" i="5"/>
  <c r="D82" i="5"/>
  <c r="C84" i="5"/>
  <c r="C83" i="5"/>
  <c r="C82" i="5"/>
  <c r="G78" i="5"/>
  <c r="G77" i="5"/>
  <c r="G76" i="5"/>
  <c r="F78" i="5"/>
  <c r="F77" i="5"/>
  <c r="F76" i="5"/>
  <c r="E78" i="5"/>
  <c r="E77" i="5"/>
  <c r="E76" i="5"/>
  <c r="D78" i="5"/>
  <c r="D77" i="5"/>
  <c r="D76" i="5"/>
  <c r="C78" i="5"/>
  <c r="C77" i="5"/>
  <c r="C76" i="5"/>
  <c r="G81" i="5"/>
  <c r="G80" i="5"/>
  <c r="G79" i="5"/>
  <c r="F81" i="5"/>
  <c r="F80" i="5"/>
  <c r="F79" i="5"/>
  <c r="E81" i="5"/>
  <c r="E80" i="5"/>
  <c r="E79" i="5"/>
  <c r="D81" i="5"/>
  <c r="D80" i="5"/>
  <c r="D79" i="5"/>
  <c r="C81" i="5"/>
  <c r="C80" i="5"/>
  <c r="C79" i="5"/>
  <c r="G75" i="5"/>
  <c r="G74" i="5"/>
  <c r="G73" i="5"/>
  <c r="F75" i="5"/>
  <c r="F74" i="5"/>
  <c r="F73" i="5"/>
  <c r="E75" i="5"/>
  <c r="E74" i="5"/>
  <c r="E73" i="5"/>
  <c r="D75" i="5"/>
  <c r="D74" i="5"/>
  <c r="D73" i="5"/>
  <c r="C75" i="5"/>
  <c r="C74" i="5"/>
  <c r="C73" i="5"/>
  <c r="G69" i="5"/>
  <c r="G68" i="5"/>
  <c r="G67" i="5"/>
  <c r="F69" i="5"/>
  <c r="F68" i="5"/>
  <c r="F67" i="5"/>
  <c r="E69" i="5"/>
  <c r="E68" i="5"/>
  <c r="E67" i="5"/>
  <c r="D69" i="5"/>
  <c r="D68" i="5"/>
  <c r="D67" i="5"/>
  <c r="C69" i="5"/>
  <c r="C68" i="5"/>
  <c r="C67" i="5"/>
  <c r="A87" i="5"/>
  <c r="A65" i="5"/>
  <c r="E21" i="4"/>
  <c r="E17" i="4"/>
  <c r="E14" i="4"/>
  <c r="E11" i="4"/>
  <c r="E8" i="4"/>
  <c r="E5" i="4"/>
  <c r="D75" i="4"/>
  <c r="D72" i="4"/>
  <c r="D68" i="4"/>
  <c r="D65" i="4"/>
  <c r="D62" i="4"/>
  <c r="D59" i="4"/>
  <c r="D55" i="4"/>
  <c r="D52" i="4"/>
  <c r="D49" i="4"/>
  <c r="D42" i="4"/>
  <c r="D39" i="4"/>
  <c r="D36" i="4"/>
  <c r="D33" i="4"/>
  <c r="D30" i="4"/>
  <c r="D27" i="4"/>
  <c r="D24" i="4"/>
  <c r="D21" i="4"/>
  <c r="D17" i="4"/>
  <c r="D14" i="4"/>
  <c r="D11" i="4"/>
  <c r="D8" i="4"/>
  <c r="F8" i="4"/>
  <c r="F11" i="4"/>
  <c r="F14" i="4"/>
  <c r="F17" i="4"/>
  <c r="E155" i="4"/>
  <c r="E152" i="4"/>
  <c r="E148" i="4"/>
  <c r="E145" i="4"/>
  <c r="E142" i="4"/>
  <c r="E139" i="4"/>
  <c r="E135" i="4"/>
  <c r="E132" i="4"/>
  <c r="E129" i="4"/>
  <c r="E122" i="4"/>
  <c r="E119" i="4"/>
  <c r="E116" i="4"/>
  <c r="E113" i="4"/>
  <c r="E110" i="4"/>
  <c r="E107" i="4"/>
  <c r="E104" i="4"/>
  <c r="E101" i="4"/>
  <c r="E97" i="4"/>
  <c r="E94" i="4"/>
  <c r="E91" i="4"/>
  <c r="E88" i="4"/>
  <c r="E85" i="4"/>
  <c r="D155" i="4"/>
  <c r="D152" i="4"/>
  <c r="D148" i="4"/>
  <c r="D145" i="4"/>
  <c r="D142" i="4"/>
  <c r="D139" i="4"/>
  <c r="D135" i="4"/>
  <c r="D132" i="4"/>
  <c r="D129" i="4"/>
  <c r="G58" i="5"/>
  <c r="F58" i="5"/>
  <c r="E58" i="5"/>
  <c r="D58" i="5"/>
  <c r="C58" i="5"/>
  <c r="G28" i="5"/>
  <c r="F28" i="5"/>
  <c r="E28" i="5"/>
  <c r="D28" i="5"/>
  <c r="C28" i="5"/>
  <c r="D122" i="4"/>
  <c r="D119" i="4"/>
  <c r="D116" i="4"/>
  <c r="D113" i="4"/>
  <c r="D107" i="4"/>
  <c r="D104" i="4"/>
  <c r="D101" i="4"/>
  <c r="D97" i="4"/>
  <c r="D94" i="4"/>
  <c r="D91" i="4"/>
  <c r="D88" i="4"/>
  <c r="D85" i="4"/>
  <c r="D5" i="4"/>
  <c r="F5" i="4"/>
  <c r="G5" i="4"/>
  <c r="H5" i="4"/>
  <c r="G8" i="4"/>
  <c r="H8" i="4"/>
  <c r="G11" i="4"/>
  <c r="H11" i="4"/>
  <c r="G14" i="4"/>
  <c r="H14" i="4"/>
  <c r="G17" i="4"/>
  <c r="H17" i="4"/>
  <c r="F21" i="4"/>
  <c r="G21" i="4"/>
  <c r="H21" i="4"/>
  <c r="E24" i="4"/>
  <c r="F24" i="4"/>
  <c r="G24" i="4"/>
  <c r="H24" i="4"/>
  <c r="E27" i="4"/>
  <c r="F27" i="4"/>
  <c r="G27" i="4"/>
  <c r="H27" i="4"/>
  <c r="E30" i="4"/>
  <c r="F30" i="4"/>
  <c r="G30" i="4"/>
  <c r="H30" i="4"/>
  <c r="E33" i="4"/>
  <c r="F33" i="4"/>
  <c r="G33" i="4"/>
  <c r="H33" i="4"/>
  <c r="E36" i="4"/>
  <c r="F36" i="4"/>
  <c r="G36" i="4"/>
  <c r="H36" i="4"/>
  <c r="E39" i="4"/>
  <c r="F39" i="4"/>
  <c r="G39" i="4"/>
  <c r="H39" i="4"/>
  <c r="E42" i="4"/>
  <c r="F42" i="4"/>
  <c r="G42" i="4"/>
  <c r="H42" i="4"/>
  <c r="E49" i="4"/>
  <c r="F49" i="4"/>
  <c r="G49" i="4"/>
  <c r="H49" i="4"/>
  <c r="E52" i="4"/>
  <c r="F52" i="4"/>
  <c r="G52" i="4"/>
  <c r="H52" i="4"/>
  <c r="E55" i="4"/>
  <c r="F55" i="4"/>
  <c r="G55" i="4"/>
  <c r="H55" i="4"/>
  <c r="E59" i="4"/>
  <c r="F59" i="4"/>
  <c r="G59" i="4"/>
  <c r="H59" i="4"/>
  <c r="E62" i="4"/>
  <c r="F62" i="4"/>
  <c r="G62" i="4"/>
  <c r="H62" i="4"/>
  <c r="E65" i="4"/>
  <c r="F65" i="4"/>
  <c r="G65" i="4"/>
  <c r="H65" i="4"/>
  <c r="E68" i="4"/>
  <c r="F68" i="4"/>
  <c r="G68" i="4"/>
  <c r="H68" i="4"/>
  <c r="E72" i="4"/>
  <c r="F72" i="4"/>
  <c r="G72" i="4"/>
  <c r="H72" i="4"/>
  <c r="E75" i="4"/>
  <c r="F75" i="4"/>
  <c r="G75" i="4"/>
  <c r="H75" i="4"/>
  <c r="G27" i="5"/>
  <c r="H46" i="4" s="1"/>
  <c r="F27" i="5"/>
  <c r="G46" i="4" s="1"/>
  <c r="E27" i="5"/>
  <c r="F46" i="4" s="1"/>
  <c r="D27" i="5"/>
  <c r="E46" i="4" s="1"/>
  <c r="C27" i="5"/>
  <c r="D46" i="4" s="1"/>
  <c r="G57" i="5"/>
  <c r="H126" i="4" s="1"/>
  <c r="F57" i="5"/>
  <c r="G126" i="4" s="1"/>
  <c r="E57" i="5"/>
  <c r="F126" i="4" s="1"/>
  <c r="D57" i="5"/>
  <c r="E126" i="4" s="1"/>
  <c r="C57" i="5"/>
  <c r="D126" i="4" s="1"/>
  <c r="E15" i="5"/>
  <c r="G56" i="5"/>
  <c r="G55" i="5"/>
  <c r="G54" i="5"/>
  <c r="G53" i="5"/>
  <c r="H120" i="4" s="1"/>
  <c r="G52" i="5"/>
  <c r="H117" i="4" s="1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F56" i="5"/>
  <c r="F55" i="5"/>
  <c r="F54" i="5"/>
  <c r="F53" i="5"/>
  <c r="G120" i="4" s="1"/>
  <c r="F52" i="5"/>
  <c r="G117" i="4" s="1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E56" i="5"/>
  <c r="E55" i="5"/>
  <c r="E54" i="5"/>
  <c r="E53" i="5"/>
  <c r="F120" i="4" s="1"/>
  <c r="E52" i="5"/>
  <c r="F117" i="4" s="1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D56" i="5"/>
  <c r="D55" i="5"/>
  <c r="D54" i="5"/>
  <c r="D53" i="5"/>
  <c r="E120" i="4" s="1"/>
  <c r="D52" i="5"/>
  <c r="E117" i="4" s="1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C56" i="5"/>
  <c r="C55" i="5"/>
  <c r="C54" i="5"/>
  <c r="C53" i="5"/>
  <c r="D120" i="4" s="1"/>
  <c r="C52" i="5"/>
  <c r="D117" i="4" s="1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G26" i="5"/>
  <c r="G25" i="5"/>
  <c r="G24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F25" i="5"/>
  <c r="F24" i="5"/>
  <c r="F23" i="5"/>
  <c r="G40" i="4" s="1"/>
  <c r="F22" i="5"/>
  <c r="G37" i="4" s="1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E26" i="5"/>
  <c r="E25" i="5"/>
  <c r="E24" i="5"/>
  <c r="E23" i="5"/>
  <c r="F40" i="4" s="1"/>
  <c r="E22" i="5"/>
  <c r="F37" i="4" s="1"/>
  <c r="E20" i="5"/>
  <c r="E19" i="5"/>
  <c r="E18" i="5"/>
  <c r="E17" i="5"/>
  <c r="E16" i="5"/>
  <c r="E14" i="5"/>
  <c r="E13" i="5"/>
  <c r="E12" i="5"/>
  <c r="E11" i="5"/>
  <c r="E10" i="5"/>
  <c r="E9" i="5"/>
  <c r="E8" i="5"/>
  <c r="E7" i="5"/>
  <c r="E6" i="5"/>
  <c r="E5" i="5"/>
  <c r="E4" i="5"/>
  <c r="D26" i="5"/>
  <c r="D25" i="5"/>
  <c r="D24" i="5"/>
  <c r="D23" i="5"/>
  <c r="E40" i="4" s="1"/>
  <c r="D22" i="5"/>
  <c r="E37" i="4" s="1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4" i="5"/>
  <c r="C26" i="5"/>
  <c r="C25" i="5"/>
  <c r="C24" i="5"/>
  <c r="C23" i="5"/>
  <c r="C22" i="5"/>
  <c r="D37" i="4" s="1"/>
  <c r="C20" i="5"/>
  <c r="C19" i="5"/>
  <c r="C18" i="5"/>
  <c r="C17" i="5"/>
  <c r="C16" i="5"/>
  <c r="C15" i="5"/>
  <c r="C14" i="5"/>
  <c r="C13" i="5"/>
  <c r="C12" i="5"/>
  <c r="C11" i="5"/>
  <c r="C9" i="5"/>
  <c r="C8" i="5"/>
  <c r="C7" i="5"/>
  <c r="C6" i="5"/>
  <c r="C5" i="5"/>
  <c r="D5" i="5"/>
  <c r="C4" i="5"/>
  <c r="C10" i="5"/>
  <c r="H95" i="4"/>
  <c r="G95" i="4"/>
  <c r="F95" i="4"/>
  <c r="E95" i="4"/>
  <c r="D95" i="4"/>
  <c r="B32" i="5"/>
  <c r="B2" i="5"/>
  <c r="H15" i="4"/>
  <c r="G15" i="4"/>
  <c r="F15" i="4"/>
  <c r="D130" i="4" l="1"/>
  <c r="AP27" i="43" s="1"/>
  <c r="E105" i="4"/>
  <c r="AS19" i="43" s="1"/>
  <c r="F130" i="4"/>
  <c r="F131" i="4" s="1"/>
  <c r="G105" i="4"/>
  <c r="AY19" i="43" s="1"/>
  <c r="G149" i="4"/>
  <c r="G150" i="4" s="1"/>
  <c r="H98" i="4"/>
  <c r="BB17" i="43" s="1"/>
  <c r="AS26" i="43"/>
  <c r="AP16" i="43"/>
  <c r="AN50" i="43" s="1"/>
  <c r="AV26" i="43"/>
  <c r="AY16" i="43"/>
  <c r="AQ47" i="43" s="1"/>
  <c r="AQ50" i="43" s="1"/>
  <c r="BB16" i="43"/>
  <c r="AR47" i="43" s="1"/>
  <c r="AR50" i="43" s="1"/>
  <c r="AS16" i="43"/>
  <c r="AO47" i="43" s="1"/>
  <c r="AO50" i="43" s="1"/>
  <c r="AY26" i="43"/>
  <c r="AV16" i="43"/>
  <c r="AP47" i="43" s="1"/>
  <c r="AP50" i="43" s="1"/>
  <c r="AP26" i="43"/>
  <c r="BB26" i="43"/>
  <c r="AS24" i="43"/>
  <c r="AY24" i="43"/>
  <c r="AP23" i="43"/>
  <c r="AV27" i="43"/>
  <c r="AV23" i="43"/>
  <c r="BB23" i="43"/>
  <c r="AP24" i="43"/>
  <c r="AV24" i="43"/>
  <c r="BB24" i="43"/>
  <c r="AS23" i="43"/>
  <c r="AY23" i="43"/>
  <c r="AR16" i="43"/>
  <c r="AO48" i="43" s="1"/>
  <c r="AU24" i="43"/>
  <c r="AP48" i="43"/>
  <c r="AO23" i="43"/>
  <c r="G38" i="4"/>
  <c r="AX23" i="43"/>
  <c r="BA26" i="43"/>
  <c r="AX16" i="43"/>
  <c r="AQ48" i="43" s="1"/>
  <c r="AR23" i="43"/>
  <c r="AX24" i="43"/>
  <c r="AR26" i="43"/>
  <c r="AO26" i="43"/>
  <c r="BA16" i="43"/>
  <c r="AR48" i="43" s="1"/>
  <c r="AR24" i="43"/>
  <c r="AU23" i="43"/>
  <c r="AU26" i="43"/>
  <c r="AX26" i="43"/>
  <c r="G123" i="4"/>
  <c r="G124" i="4" s="1"/>
  <c r="D43" i="4"/>
  <c r="D44" i="4" s="1"/>
  <c r="G92" i="4"/>
  <c r="D146" i="4"/>
  <c r="F146" i="4"/>
  <c r="H146" i="4"/>
  <c r="E149" i="4"/>
  <c r="E130" i="4"/>
  <c r="F133" i="4"/>
  <c r="D89" i="4"/>
  <c r="D140" i="4"/>
  <c r="E114" i="4"/>
  <c r="E143" i="4"/>
  <c r="F102" i="4"/>
  <c r="F103" i="4" s="1"/>
  <c r="F140" i="4"/>
  <c r="G89" i="4"/>
  <c r="G146" i="4"/>
  <c r="H89" i="4"/>
  <c r="H156" i="4"/>
  <c r="H153" i="4"/>
  <c r="D108" i="4"/>
  <c r="E136" i="4"/>
  <c r="G136" i="4"/>
  <c r="D123" i="4"/>
  <c r="E153" i="4"/>
  <c r="D114" i="4"/>
  <c r="D136" i="4"/>
  <c r="E102" i="4"/>
  <c r="E108" i="4"/>
  <c r="F114" i="4"/>
  <c r="F136" i="4"/>
  <c r="G102" i="4"/>
  <c r="G108" i="4"/>
  <c r="G140" i="4"/>
  <c r="H111" i="4"/>
  <c r="H136" i="4"/>
  <c r="F108" i="4"/>
  <c r="H108" i="4"/>
  <c r="D156" i="4"/>
  <c r="F92" i="4"/>
  <c r="F123" i="4"/>
  <c r="G143" i="4"/>
  <c r="G153" i="4"/>
  <c r="H133" i="4"/>
  <c r="H123" i="4"/>
  <c r="E140" i="4"/>
  <c r="D105" i="4"/>
  <c r="D143" i="4"/>
  <c r="D149" i="4"/>
  <c r="D153" i="4"/>
  <c r="E86" i="4"/>
  <c r="E156" i="4"/>
  <c r="E133" i="4"/>
  <c r="E123" i="4"/>
  <c r="F105" i="4"/>
  <c r="F143" i="4"/>
  <c r="F149" i="4"/>
  <c r="F153" i="4"/>
  <c r="G86" i="4"/>
  <c r="G156" i="4"/>
  <c r="G133" i="4"/>
  <c r="H105" i="4"/>
  <c r="H143" i="4"/>
  <c r="H149" i="4"/>
  <c r="D98" i="4"/>
  <c r="D133" i="4"/>
  <c r="F43" i="4"/>
  <c r="F44" i="4" s="1"/>
  <c r="E43" i="4"/>
  <c r="H43" i="4"/>
  <c r="H102" i="4"/>
  <c r="H114" i="4"/>
  <c r="H140" i="4"/>
  <c r="F89" i="4"/>
  <c r="F98" i="4"/>
  <c r="D111" i="4"/>
  <c r="F111" i="4"/>
  <c r="G114" i="4"/>
  <c r="H130" i="4"/>
  <c r="E146" i="4"/>
  <c r="G98" i="4"/>
  <c r="G111" i="4"/>
  <c r="E98" i="4"/>
  <c r="H92" i="4"/>
  <c r="D102" i="4"/>
  <c r="E111" i="4"/>
  <c r="G130" i="4"/>
  <c r="F156" i="4"/>
  <c r="D86" i="4"/>
  <c r="D92" i="4"/>
  <c r="F86" i="4"/>
  <c r="H86" i="4"/>
  <c r="E89" i="4"/>
  <c r="G118" i="4"/>
  <c r="G121" i="4"/>
  <c r="F118" i="4"/>
  <c r="F121" i="4"/>
  <c r="G96" i="4"/>
  <c r="F96" i="4"/>
  <c r="H16" i="4"/>
  <c r="F9" i="4"/>
  <c r="D31" i="4"/>
  <c r="D69" i="4"/>
  <c r="F127" i="4"/>
  <c r="H96" i="4"/>
  <c r="D6" i="4"/>
  <c r="D76" i="4"/>
  <c r="E38" i="4"/>
  <c r="G127" i="4"/>
  <c r="D56" i="4"/>
  <c r="E22" i="4"/>
  <c r="D15" i="4"/>
  <c r="D63" i="4"/>
  <c r="E96" i="4"/>
  <c r="D22" i="4"/>
  <c r="D25" i="4"/>
  <c r="E106" i="4"/>
  <c r="F6" i="4"/>
  <c r="F12" i="4"/>
  <c r="F16" i="4"/>
  <c r="D28" i="4"/>
  <c r="D50" i="4"/>
  <c r="D127" i="4"/>
  <c r="E121" i="4"/>
  <c r="F18" i="4"/>
  <c r="F19" i="4" s="1"/>
  <c r="D9" i="4"/>
  <c r="D34" i="4"/>
  <c r="D40" i="4"/>
  <c r="D53" i="4"/>
  <c r="D60" i="4"/>
  <c r="D66" i="4"/>
  <c r="D73" i="4"/>
  <c r="E6" i="4"/>
  <c r="E12" i="4"/>
  <c r="E18" i="4"/>
  <c r="E92" i="4"/>
  <c r="E118" i="4"/>
  <c r="D12" i="4"/>
  <c r="D18" i="4"/>
  <c r="E9" i="4"/>
  <c r="E127" i="4"/>
  <c r="E60" i="4"/>
  <c r="F31" i="4"/>
  <c r="F69" i="4"/>
  <c r="H22" i="4"/>
  <c r="BA18" i="43" s="1"/>
  <c r="E50" i="4"/>
  <c r="G66" i="4"/>
  <c r="D96" i="4"/>
  <c r="H53" i="4"/>
  <c r="BA28" i="43" s="1"/>
  <c r="F25" i="4"/>
  <c r="E63" i="4"/>
  <c r="F76" i="4"/>
  <c r="H63" i="4"/>
  <c r="BA31" i="43" s="1"/>
  <c r="D38" i="4"/>
  <c r="E28" i="4"/>
  <c r="F66" i="4"/>
  <c r="F73" i="4"/>
  <c r="G6" i="4"/>
  <c r="G76" i="4"/>
  <c r="G50" i="4"/>
  <c r="H60" i="4"/>
  <c r="BA30" i="43" s="1"/>
  <c r="G31" i="4"/>
  <c r="H28" i="4"/>
  <c r="BA20" i="43" s="1"/>
  <c r="F63" i="4"/>
  <c r="H12" i="4"/>
  <c r="BA15" i="43" s="1"/>
  <c r="E76" i="4"/>
  <c r="G56" i="4"/>
  <c r="H6" i="4"/>
  <c r="BA13" i="43" s="1"/>
  <c r="E16" i="4"/>
  <c r="E31" i="4"/>
  <c r="E66" i="4"/>
  <c r="E56" i="4"/>
  <c r="E41" i="4"/>
  <c r="F28" i="4"/>
  <c r="F60" i="4"/>
  <c r="G25" i="4"/>
  <c r="G63" i="4"/>
  <c r="G69" i="4"/>
  <c r="G73" i="4"/>
  <c r="H31" i="4"/>
  <c r="BA21" i="43" s="1"/>
  <c r="H66" i="4"/>
  <c r="BA32" i="43" s="1"/>
  <c r="H56" i="4"/>
  <c r="BA29" i="43" s="1"/>
  <c r="E25" i="4"/>
  <c r="E69" i="4"/>
  <c r="E73" i="4"/>
  <c r="F50" i="4"/>
  <c r="F56" i="4"/>
  <c r="F41" i="4"/>
  <c r="G9" i="4"/>
  <c r="G28" i="4"/>
  <c r="G60" i="4"/>
  <c r="H25" i="4"/>
  <c r="BA19" i="43" s="1"/>
  <c r="H69" i="4"/>
  <c r="BA33" i="43" s="1"/>
  <c r="H47" i="4"/>
  <c r="D47" i="4"/>
  <c r="H76" i="4"/>
  <c r="BA35" i="43" s="1"/>
  <c r="H73" i="4"/>
  <c r="BA34" i="43" s="1"/>
  <c r="G53" i="4"/>
  <c r="H50" i="4"/>
  <c r="BA27" i="43" s="1"/>
  <c r="F38" i="4"/>
  <c r="E34" i="4"/>
  <c r="G22" i="4"/>
  <c r="G18" i="4"/>
  <c r="G12" i="4"/>
  <c r="H127" i="4"/>
  <c r="D118" i="4"/>
  <c r="F53" i="4"/>
  <c r="F47" i="4"/>
  <c r="H34" i="4"/>
  <c r="BA22" i="43" s="1"/>
  <c r="F22" i="4"/>
  <c r="H9" i="4"/>
  <c r="BA14" i="43" s="1"/>
  <c r="AR41" i="43" s="1"/>
  <c r="E53" i="4"/>
  <c r="G41" i="4"/>
  <c r="G34" i="4"/>
  <c r="G16" i="4"/>
  <c r="E47" i="4"/>
  <c r="F34" i="4"/>
  <c r="H18" i="4"/>
  <c r="BA17" i="43" s="1"/>
  <c r="D121" i="4"/>
  <c r="F26" i="5"/>
  <c r="D131" i="4" l="1"/>
  <c r="H99" i="4"/>
  <c r="AY33" i="43"/>
  <c r="G106" i="4"/>
  <c r="AR73" i="43"/>
  <c r="AR54" i="43"/>
  <c r="AR59" i="43"/>
  <c r="AR66" i="43"/>
  <c r="D112" i="4"/>
  <c r="AP21" i="43"/>
  <c r="AR7" i="43"/>
  <c r="H87" i="4"/>
  <c r="BB13" i="43"/>
  <c r="F157" i="4"/>
  <c r="AV35" i="43"/>
  <c r="G87" i="4"/>
  <c r="AY13" i="43"/>
  <c r="E87" i="4"/>
  <c r="AS13" i="43"/>
  <c r="G154" i="4"/>
  <c r="AY34" i="43"/>
  <c r="H112" i="4"/>
  <c r="BB21" i="43"/>
  <c r="D137" i="4"/>
  <c r="AP29" i="43"/>
  <c r="G137" i="4"/>
  <c r="AY29" i="43"/>
  <c r="F141" i="4"/>
  <c r="AV30" i="43"/>
  <c r="D141" i="4"/>
  <c r="AP30" i="43"/>
  <c r="E150" i="4"/>
  <c r="AS33" i="43"/>
  <c r="F87" i="4"/>
  <c r="AV13" i="43"/>
  <c r="G131" i="4"/>
  <c r="AY27" i="43"/>
  <c r="E99" i="4"/>
  <c r="AS17" i="43"/>
  <c r="H131" i="4"/>
  <c r="BB27" i="43"/>
  <c r="F99" i="4"/>
  <c r="AV17" i="43"/>
  <c r="H103" i="4"/>
  <c r="BB18" i="43"/>
  <c r="D134" i="4"/>
  <c r="AP28" i="43"/>
  <c r="H106" i="4"/>
  <c r="BB19" i="43"/>
  <c r="F154" i="4"/>
  <c r="AV34" i="43"/>
  <c r="E124" i="4"/>
  <c r="AS25" i="43"/>
  <c r="D154" i="4"/>
  <c r="AP34" i="43"/>
  <c r="E141" i="4"/>
  <c r="AS30" i="43"/>
  <c r="G144" i="4"/>
  <c r="AY31" i="43"/>
  <c r="H109" i="4"/>
  <c r="BB20" i="43"/>
  <c r="G141" i="4"/>
  <c r="AY30" i="43"/>
  <c r="F115" i="4"/>
  <c r="AV22" i="43"/>
  <c r="D115" i="4"/>
  <c r="AP22" i="43"/>
  <c r="E137" i="4"/>
  <c r="AS29" i="43"/>
  <c r="H90" i="4"/>
  <c r="BB14" i="43"/>
  <c r="AR40" i="43" s="1"/>
  <c r="AR43" i="43" s="1"/>
  <c r="AV18" i="43"/>
  <c r="D90" i="4"/>
  <c r="AP14" i="43"/>
  <c r="AN40" i="43" s="1"/>
  <c r="AN43" i="43" s="1"/>
  <c r="H147" i="4"/>
  <c r="BB32" i="43"/>
  <c r="H93" i="4"/>
  <c r="BB15" i="43"/>
  <c r="E147" i="4"/>
  <c r="AS32" i="43"/>
  <c r="H115" i="4"/>
  <c r="BB22" i="43"/>
  <c r="H144" i="4"/>
  <c r="BB31" i="43"/>
  <c r="F106" i="4"/>
  <c r="AV19" i="43"/>
  <c r="D106" i="4"/>
  <c r="AP19" i="43"/>
  <c r="D157" i="4"/>
  <c r="AP35" i="43"/>
  <c r="F137" i="4"/>
  <c r="AV29" i="43"/>
  <c r="H157" i="4"/>
  <c r="BB35" i="43"/>
  <c r="D93" i="4"/>
  <c r="AP15" i="43"/>
  <c r="E112" i="4"/>
  <c r="AS21" i="43"/>
  <c r="G112" i="4"/>
  <c r="AY21" i="43"/>
  <c r="G115" i="4"/>
  <c r="AY22" i="43"/>
  <c r="F90" i="4"/>
  <c r="AV14" i="43"/>
  <c r="AP40" i="43" s="1"/>
  <c r="AP43" i="43" s="1"/>
  <c r="D99" i="4"/>
  <c r="AP17" i="43"/>
  <c r="G134" i="4"/>
  <c r="AY28" i="43"/>
  <c r="F150" i="4"/>
  <c r="AV33" i="43"/>
  <c r="E134" i="4"/>
  <c r="AS28" i="43"/>
  <c r="D150" i="4"/>
  <c r="AP33" i="43"/>
  <c r="H124" i="4"/>
  <c r="BB25" i="43"/>
  <c r="F124" i="4"/>
  <c r="AV25" i="43"/>
  <c r="F109" i="4"/>
  <c r="AV20" i="43"/>
  <c r="G109" i="4"/>
  <c r="AY20" i="43"/>
  <c r="E109" i="4"/>
  <c r="AS20" i="43"/>
  <c r="E154" i="4"/>
  <c r="AS34" i="43"/>
  <c r="D109" i="4"/>
  <c r="AP20" i="43"/>
  <c r="G147" i="4"/>
  <c r="AY32" i="43"/>
  <c r="E144" i="4"/>
  <c r="AS31" i="43"/>
  <c r="F134" i="4"/>
  <c r="AV28" i="43"/>
  <c r="F147" i="4"/>
  <c r="AV32" i="43"/>
  <c r="AY25" i="43"/>
  <c r="E90" i="4"/>
  <c r="AS14" i="43"/>
  <c r="AO40" i="43" s="1"/>
  <c r="AO43" i="43" s="1"/>
  <c r="D87" i="4"/>
  <c r="AP13" i="43"/>
  <c r="D103" i="4"/>
  <c r="AP18" i="43"/>
  <c r="G99" i="4"/>
  <c r="AY17" i="43"/>
  <c r="F112" i="4"/>
  <c r="AV21" i="43"/>
  <c r="H141" i="4"/>
  <c r="BB30" i="43"/>
  <c r="H150" i="4"/>
  <c r="BB33" i="43"/>
  <c r="G157" i="4"/>
  <c r="AY35" i="43"/>
  <c r="F144" i="4"/>
  <c r="AV31" i="43"/>
  <c r="E157" i="4"/>
  <c r="AS35" i="43"/>
  <c r="D144" i="4"/>
  <c r="AP31" i="43"/>
  <c r="H134" i="4"/>
  <c r="BB28" i="43"/>
  <c r="F93" i="4"/>
  <c r="AV15" i="43"/>
  <c r="H137" i="4"/>
  <c r="BB29" i="43"/>
  <c r="G103" i="4"/>
  <c r="AY18" i="43"/>
  <c r="E103" i="4"/>
  <c r="AS18" i="43"/>
  <c r="D124" i="4"/>
  <c r="AP25" i="43"/>
  <c r="H154" i="4"/>
  <c r="BB34" i="43"/>
  <c r="G90" i="4"/>
  <c r="AY14" i="43"/>
  <c r="AQ40" i="43" s="1"/>
  <c r="AQ43" i="43" s="1"/>
  <c r="E115" i="4"/>
  <c r="AS22" i="43"/>
  <c r="E131" i="4"/>
  <c r="AS27" i="43"/>
  <c r="D147" i="4"/>
  <c r="AP32" i="43"/>
  <c r="E35" i="4"/>
  <c r="AR22" i="43"/>
  <c r="G57" i="4"/>
  <c r="AX29" i="43"/>
  <c r="F54" i="4"/>
  <c r="AU28" i="43"/>
  <c r="G19" i="4"/>
  <c r="AX17" i="43"/>
  <c r="E70" i="4"/>
  <c r="AR33" i="43"/>
  <c r="G26" i="4"/>
  <c r="AX19" i="43"/>
  <c r="E57" i="4"/>
  <c r="AR29" i="43"/>
  <c r="F74" i="4"/>
  <c r="AU34" i="43"/>
  <c r="E13" i="4"/>
  <c r="AR15" i="43"/>
  <c r="D61" i="4"/>
  <c r="AO30" i="43"/>
  <c r="D10" i="4"/>
  <c r="AO14" i="43"/>
  <c r="AN41" i="43" s="1"/>
  <c r="F13" i="4"/>
  <c r="AU15" i="43"/>
  <c r="D23" i="4"/>
  <c r="AO18" i="43"/>
  <c r="E23" i="4"/>
  <c r="AR18" i="43"/>
  <c r="D77" i="4"/>
  <c r="AO35" i="43"/>
  <c r="H44" i="4"/>
  <c r="BA25" i="43"/>
  <c r="G54" i="4"/>
  <c r="AX28" i="43"/>
  <c r="G29" i="4"/>
  <c r="AX20" i="43"/>
  <c r="F51" i="4"/>
  <c r="AU27" i="43"/>
  <c r="G70" i="4"/>
  <c r="AX33" i="43"/>
  <c r="F29" i="4"/>
  <c r="AU20" i="43"/>
  <c r="E32" i="4"/>
  <c r="AR21" i="43"/>
  <c r="G77" i="4"/>
  <c r="AX35" i="43"/>
  <c r="E29" i="4"/>
  <c r="AR20" i="43"/>
  <c r="E64" i="4"/>
  <c r="AR31" i="43"/>
  <c r="G67" i="4"/>
  <c r="AX32" i="43"/>
  <c r="F32" i="4"/>
  <c r="AU21" i="43"/>
  <c r="D19" i="4"/>
  <c r="AO17" i="43"/>
  <c r="E93" i="4"/>
  <c r="AS15" i="43"/>
  <c r="D74" i="4"/>
  <c r="AO34" i="43"/>
  <c r="D41" i="4"/>
  <c r="AO24" i="43"/>
  <c r="D29" i="4"/>
  <c r="AO20" i="43"/>
  <c r="D64" i="4"/>
  <c r="AO31" i="43"/>
  <c r="D32" i="4"/>
  <c r="AO21" i="43"/>
  <c r="AU25" i="43"/>
  <c r="G93" i="4"/>
  <c r="AY15" i="43"/>
  <c r="G35" i="4"/>
  <c r="AX22" i="43"/>
  <c r="G13" i="4"/>
  <c r="AX15" i="43"/>
  <c r="G10" i="4"/>
  <c r="AX14" i="43"/>
  <c r="AQ41" i="43" s="1"/>
  <c r="E74" i="4"/>
  <c r="AR34" i="43"/>
  <c r="G64" i="4"/>
  <c r="AX31" i="43"/>
  <c r="E77" i="4"/>
  <c r="AR35" i="43"/>
  <c r="G32" i="4"/>
  <c r="AX21" i="43"/>
  <c r="G7" i="4"/>
  <c r="AX13" i="43"/>
  <c r="F26" i="4"/>
  <c r="AU19" i="43"/>
  <c r="E51" i="4"/>
  <c r="AR27" i="43"/>
  <c r="E61" i="4"/>
  <c r="AR30" i="43"/>
  <c r="D13" i="4"/>
  <c r="AO15" i="43"/>
  <c r="E19" i="4"/>
  <c r="AR17" i="43"/>
  <c r="D67" i="4"/>
  <c r="AO32" i="43"/>
  <c r="D35" i="4"/>
  <c r="AO22" i="43"/>
  <c r="D26" i="4"/>
  <c r="AO19" i="43"/>
  <c r="D16" i="4"/>
  <c r="AO16" i="43"/>
  <c r="AN48" i="43" s="1"/>
  <c r="F10" i="4"/>
  <c r="AU14" i="43"/>
  <c r="AP41" i="43" s="1"/>
  <c r="AO25" i="43"/>
  <c r="F35" i="4"/>
  <c r="AU22" i="43"/>
  <c r="F23" i="4"/>
  <c r="AU18" i="43"/>
  <c r="E54" i="4"/>
  <c r="AR28" i="43"/>
  <c r="G23" i="4"/>
  <c r="AX18" i="43"/>
  <c r="G61" i="4"/>
  <c r="AX30" i="43"/>
  <c r="F57" i="4"/>
  <c r="AU29" i="43"/>
  <c r="E26" i="4"/>
  <c r="AR19" i="43"/>
  <c r="G74" i="4"/>
  <c r="AX34" i="43"/>
  <c r="F61" i="4"/>
  <c r="AU30" i="43"/>
  <c r="E67" i="4"/>
  <c r="AR32" i="43"/>
  <c r="F64" i="4"/>
  <c r="AU31" i="43"/>
  <c r="G51" i="4"/>
  <c r="AX27" i="43"/>
  <c r="F67" i="4"/>
  <c r="AU32" i="43"/>
  <c r="F77" i="4"/>
  <c r="AU35" i="43"/>
  <c r="F70" i="4"/>
  <c r="AU33" i="43"/>
  <c r="E10" i="4"/>
  <c r="AR14" i="43"/>
  <c r="AO41" i="43" s="1"/>
  <c r="E7" i="4"/>
  <c r="AR13" i="43"/>
  <c r="D54" i="4"/>
  <c r="AO28" i="43"/>
  <c r="AU17" i="43"/>
  <c r="D51" i="4"/>
  <c r="AO27" i="43"/>
  <c r="F7" i="4"/>
  <c r="AU13" i="43"/>
  <c r="D57" i="4"/>
  <c r="AO29" i="43"/>
  <c r="D7" i="4"/>
  <c r="AO13" i="43"/>
  <c r="D70" i="4"/>
  <c r="AO33" i="43"/>
  <c r="E44" i="4"/>
  <c r="AR25" i="43"/>
  <c r="H77" i="4"/>
  <c r="H32" i="4"/>
  <c r="H13" i="4"/>
  <c r="H61" i="4"/>
  <c r="H64" i="4"/>
  <c r="H54" i="4"/>
  <c r="H23" i="4"/>
  <c r="H57" i="4"/>
  <c r="H29" i="4"/>
  <c r="H19" i="4"/>
  <c r="H10" i="4"/>
  <c r="H74" i="4"/>
  <c r="H70" i="4"/>
  <c r="H67" i="4"/>
  <c r="H26" i="4"/>
  <c r="H35" i="4"/>
  <c r="H51" i="4"/>
  <c r="H7" i="4"/>
  <c r="G47" i="4"/>
  <c r="G43" i="4"/>
  <c r="C5" i="40"/>
  <c r="C43" i="40"/>
  <c r="AN6" i="43" l="1"/>
  <c r="AP59" i="43"/>
  <c r="AP66" i="43"/>
  <c r="AP73" i="43"/>
  <c r="AP54" i="43"/>
  <c r="AQ58" i="43"/>
  <c r="AQ61" i="43" s="1"/>
  <c r="AQ65" i="43"/>
  <c r="AQ68" i="43" s="1"/>
  <c r="AQ53" i="43"/>
  <c r="AQ56" i="43" s="1"/>
  <c r="AQ72" i="43"/>
  <c r="AQ75" i="43" s="1"/>
  <c r="AP53" i="43"/>
  <c r="AP56" i="43" s="1"/>
  <c r="AP58" i="43"/>
  <c r="AP61" i="43" s="1"/>
  <c r="AP65" i="43"/>
  <c r="AP68" i="43" s="1"/>
  <c r="AP72" i="43"/>
  <c r="AP75" i="43" s="1"/>
  <c r="AO54" i="43"/>
  <c r="AO59" i="43"/>
  <c r="AO66" i="43"/>
  <c r="AO73" i="43"/>
  <c r="AQ66" i="43"/>
  <c r="AQ73" i="43"/>
  <c r="AQ59" i="43"/>
  <c r="AQ54" i="43"/>
  <c r="AN73" i="43"/>
  <c r="AN54" i="43"/>
  <c r="AN59" i="43"/>
  <c r="AN66" i="43"/>
  <c r="AO72" i="43"/>
  <c r="AO75" i="43" s="1"/>
  <c r="AO53" i="43"/>
  <c r="AO56" i="43" s="1"/>
  <c r="AO65" i="43"/>
  <c r="AO68" i="43" s="1"/>
  <c r="AO58" i="43"/>
  <c r="AO61" i="43" s="1"/>
  <c r="AR65" i="43"/>
  <c r="AR68" i="43" s="1"/>
  <c r="AR72" i="43"/>
  <c r="AR75" i="43" s="1"/>
  <c r="AR58" i="43"/>
  <c r="AR61" i="43" s="1"/>
  <c r="AR53" i="43"/>
  <c r="AR56" i="43" s="1"/>
  <c r="AN65" i="43"/>
  <c r="AN68" i="43" s="1"/>
  <c r="AN72" i="43"/>
  <c r="AN75" i="43" s="1"/>
  <c r="AN53" i="43"/>
  <c r="AN56" i="43" s="1"/>
  <c r="AN58" i="43"/>
  <c r="AN61" i="43" s="1"/>
  <c r="AN7" i="43"/>
  <c r="AP6" i="43"/>
  <c r="AR6" i="43"/>
  <c r="AQ6" i="43"/>
  <c r="AP7" i="43"/>
  <c r="AQ7" i="43"/>
  <c r="AO6" i="43"/>
  <c r="AO7" i="43"/>
  <c r="G44" i="4"/>
  <c r="AX25" i="43"/>
  <c r="C42" i="40"/>
  <c r="C20" i="40"/>
  <c r="N31" i="29" l="1"/>
  <c r="E14" i="7"/>
  <c r="H14" i="7"/>
  <c r="D21" i="8"/>
  <c r="H16" i="7"/>
  <c r="H13" i="7"/>
  <c r="H10" i="7"/>
  <c r="H7" i="7"/>
  <c r="H4" i="7"/>
  <c r="O11" i="29"/>
  <c r="O10" i="29"/>
  <c r="H19" i="29"/>
  <c r="H18" i="29"/>
  <c r="H17" i="29"/>
  <c r="D9" i="29"/>
  <c r="F19" i="29" s="1"/>
  <c r="I32" i="29"/>
  <c r="H32" i="29"/>
  <c r="G32" i="29"/>
  <c r="F32" i="29"/>
  <c r="E32" i="29"/>
  <c r="I31" i="29"/>
  <c r="H31" i="29"/>
  <c r="G31" i="29"/>
  <c r="F31" i="29"/>
  <c r="E31" i="29"/>
  <c r="I30" i="29"/>
  <c r="H30" i="29"/>
  <c r="G30" i="29"/>
  <c r="F30" i="29"/>
  <c r="E30" i="29"/>
  <c r="I29" i="29"/>
  <c r="H29" i="29"/>
  <c r="G29" i="29"/>
  <c r="F29" i="29"/>
  <c r="E29" i="29"/>
  <c r="I28" i="29"/>
  <c r="H28" i="29"/>
  <c r="G28" i="29"/>
  <c r="F28" i="29"/>
  <c r="F39" i="29" s="1"/>
  <c r="F13" i="29" s="1"/>
  <c r="E28" i="29"/>
  <c r="G22" i="5"/>
  <c r="H118" i="4" s="1"/>
  <c r="G23" i="5"/>
  <c r="H121" i="4" s="1"/>
  <c r="G24" i="8"/>
  <c r="E21" i="8"/>
  <c r="E24" i="8"/>
  <c r="D24" i="8"/>
  <c r="H14" i="11"/>
  <c r="G14" i="11"/>
  <c r="F14" i="11"/>
  <c r="E14" i="11"/>
  <c r="D14" i="11"/>
  <c r="H11" i="11"/>
  <c r="G11" i="11"/>
  <c r="F11" i="11"/>
  <c r="E11" i="11"/>
  <c r="D11" i="11"/>
  <c r="H8" i="11"/>
  <c r="G8" i="11"/>
  <c r="F8" i="11"/>
  <c r="E8" i="11"/>
  <c r="D8" i="11"/>
  <c r="H5" i="11"/>
  <c r="G5" i="11"/>
  <c r="F5" i="11"/>
  <c r="E5" i="11"/>
  <c r="D5" i="11"/>
  <c r="H8" i="10"/>
  <c r="G8" i="10"/>
  <c r="F8" i="10"/>
  <c r="E8" i="10"/>
  <c r="D8" i="10"/>
  <c r="H5" i="10"/>
  <c r="G5" i="10"/>
  <c r="F5" i="10"/>
  <c r="E5" i="10"/>
  <c r="D5" i="10"/>
  <c r="H11" i="9"/>
  <c r="G11" i="9"/>
  <c r="F11" i="9"/>
  <c r="E11" i="9"/>
  <c r="D11" i="9"/>
  <c r="H8" i="9"/>
  <c r="G8" i="9"/>
  <c r="F8" i="9"/>
  <c r="E8" i="9"/>
  <c r="D8" i="9"/>
  <c r="H5" i="9"/>
  <c r="G5" i="9"/>
  <c r="F5" i="9"/>
  <c r="E5" i="9"/>
  <c r="D5" i="9"/>
  <c r="H23" i="8"/>
  <c r="G23" i="8"/>
  <c r="F23" i="8"/>
  <c r="E23" i="8"/>
  <c r="D23" i="8"/>
  <c r="H20" i="8"/>
  <c r="G20" i="8"/>
  <c r="F20" i="8"/>
  <c r="E20" i="8"/>
  <c r="D20" i="8"/>
  <c r="H17" i="8"/>
  <c r="G17" i="8"/>
  <c r="F17" i="8"/>
  <c r="E17" i="8"/>
  <c r="D17" i="8"/>
  <c r="H14" i="8"/>
  <c r="G14" i="8"/>
  <c r="F14" i="8"/>
  <c r="E14" i="8"/>
  <c r="D14" i="8"/>
  <c r="H11" i="8"/>
  <c r="G11" i="8"/>
  <c r="F11" i="8"/>
  <c r="E11" i="8"/>
  <c r="D11" i="8"/>
  <c r="H8" i="8"/>
  <c r="G8" i="8"/>
  <c r="F8" i="8"/>
  <c r="E8" i="8"/>
  <c r="D8" i="8"/>
  <c r="H5" i="8"/>
  <c r="G5" i="8"/>
  <c r="F5" i="8"/>
  <c r="E5" i="8"/>
  <c r="D5" i="8"/>
  <c r="G16" i="7"/>
  <c r="F16" i="7"/>
  <c r="E16" i="7"/>
  <c r="D16" i="7"/>
  <c r="G13" i="7"/>
  <c r="F13" i="7"/>
  <c r="E13" i="7"/>
  <c r="D13" i="7"/>
  <c r="G10" i="7"/>
  <c r="F10" i="7"/>
  <c r="E10" i="7"/>
  <c r="D10" i="7"/>
  <c r="G7" i="7"/>
  <c r="F7" i="7"/>
  <c r="E7" i="7"/>
  <c r="D7" i="7"/>
  <c r="G4" i="7"/>
  <c r="F4" i="7"/>
  <c r="E4" i="7"/>
  <c r="D4" i="7"/>
  <c r="H39" i="29" l="1"/>
  <c r="H13" i="29" s="1"/>
  <c r="E39" i="29"/>
  <c r="E13" i="29" s="1"/>
  <c r="H37" i="4"/>
  <c r="BA23" i="43" s="1"/>
  <c r="H40" i="4"/>
  <c r="BA24" i="43" s="1"/>
  <c r="H17" i="7"/>
  <c r="H18" i="7" s="1"/>
  <c r="H5" i="7"/>
  <c r="H6" i="7" s="1"/>
  <c r="H15" i="7"/>
  <c r="H11" i="7"/>
  <c r="H12" i="7" s="1"/>
  <c r="H8" i="7"/>
  <c r="H9" i="7" s="1"/>
  <c r="F10" i="29"/>
  <c r="G11" i="29"/>
  <c r="H12" i="29"/>
  <c r="F11" i="29"/>
  <c r="G12" i="29"/>
  <c r="I10" i="29"/>
  <c r="F17" i="29" s="1"/>
  <c r="F12" i="29"/>
  <c r="H10" i="29"/>
  <c r="I11" i="29"/>
  <c r="G10" i="29"/>
  <c r="H11" i="29"/>
  <c r="E10" i="29"/>
  <c r="E11" i="29"/>
  <c r="E12" i="29"/>
  <c r="H12" i="9"/>
  <c r="H13" i="9" s="1"/>
  <c r="N29" i="29"/>
  <c r="L29" i="29"/>
  <c r="L32" i="29"/>
  <c r="P29" i="29"/>
  <c r="P32" i="29"/>
  <c r="O29" i="29"/>
  <c r="L28" i="29"/>
  <c r="P28" i="29"/>
  <c r="P39" i="29" s="1"/>
  <c r="M29" i="29"/>
  <c r="M32" i="29"/>
  <c r="M28" i="29"/>
  <c r="M39" i="29" s="1"/>
  <c r="N30" i="29"/>
  <c r="O30" i="29"/>
  <c r="O28" i="29"/>
  <c r="O39" i="29" s="1"/>
  <c r="L30" i="29"/>
  <c r="M30" i="29"/>
  <c r="O32" i="29"/>
  <c r="N28" i="29"/>
  <c r="P30" i="29"/>
  <c r="L31" i="29"/>
  <c r="M31" i="29"/>
  <c r="N32" i="29"/>
  <c r="P31" i="29"/>
  <c r="O31" i="29"/>
  <c r="G39" i="29"/>
  <c r="I39" i="29"/>
  <c r="E12" i="9"/>
  <c r="E13" i="9" s="1"/>
  <c r="G12" i="9"/>
  <c r="G13" i="9" s="1"/>
  <c r="H24" i="8"/>
  <c r="H25" i="8" s="1"/>
  <c r="E6" i="11"/>
  <c r="E7" i="11" s="1"/>
  <c r="H12" i="11"/>
  <c r="H13" i="11" s="1"/>
  <c r="H9" i="11"/>
  <c r="H10" i="11" s="1"/>
  <c r="E9" i="10"/>
  <c r="E10" i="10" s="1"/>
  <c r="H6" i="9"/>
  <c r="H7" i="9" s="1"/>
  <c r="E15" i="11"/>
  <c r="E16" i="11" s="1"/>
  <c r="E9" i="9"/>
  <c r="E10" i="9" s="1"/>
  <c r="G21" i="8"/>
  <c r="G22" i="8" s="1"/>
  <c r="E6" i="9"/>
  <c r="E7" i="9" s="1"/>
  <c r="E15" i="7"/>
  <c r="E12" i="11"/>
  <c r="E13" i="11" s="1"/>
  <c r="D12" i="9"/>
  <c r="D13" i="9" s="1"/>
  <c r="G15" i="11"/>
  <c r="G16" i="11" s="1"/>
  <c r="H6" i="10"/>
  <c r="H7" i="10" s="1"/>
  <c r="G14" i="7"/>
  <c r="G15" i="7" s="1"/>
  <c r="H9" i="9"/>
  <c r="H10" i="9" s="1"/>
  <c r="D9" i="9"/>
  <c r="D10" i="9" s="1"/>
  <c r="D6" i="9"/>
  <c r="D7" i="9" s="1"/>
  <c r="D17" i="7"/>
  <c r="D18" i="7" s="1"/>
  <c r="E9" i="11"/>
  <c r="E10" i="11" s="1"/>
  <c r="E6" i="10"/>
  <c r="E7" i="10" s="1"/>
  <c r="E17" i="7"/>
  <c r="E18" i="7" s="1"/>
  <c r="E11" i="7"/>
  <c r="E12" i="7" s="1"/>
  <c r="E12" i="8"/>
  <c r="E13" i="8" s="1"/>
  <c r="E18" i="8"/>
  <c r="E19" i="8" s="1"/>
  <c r="E8" i="7"/>
  <c r="E9" i="7" s="1"/>
  <c r="E9" i="8"/>
  <c r="E10" i="8" s="1"/>
  <c r="E15" i="8"/>
  <c r="E16" i="8" s="1"/>
  <c r="E6" i="8"/>
  <c r="E7" i="8" s="1"/>
  <c r="E5" i="7"/>
  <c r="E6" i="7" s="1"/>
  <c r="H21" i="8"/>
  <c r="H22" i="8" s="1"/>
  <c r="G9" i="9"/>
  <c r="G10" i="9" s="1"/>
  <c r="G17" i="7"/>
  <c r="G18" i="7" s="1"/>
  <c r="G6" i="9"/>
  <c r="G7" i="9" s="1"/>
  <c r="G6" i="10"/>
  <c r="G7" i="10" s="1"/>
  <c r="D6" i="10"/>
  <c r="D7" i="10" s="1"/>
  <c r="D6" i="11"/>
  <c r="D7" i="11" s="1"/>
  <c r="D9" i="11"/>
  <c r="D10" i="11" s="1"/>
  <c r="H15" i="11"/>
  <c r="H16" i="11" s="1"/>
  <c r="D12" i="11"/>
  <c r="D13" i="11" s="1"/>
  <c r="G9" i="11"/>
  <c r="G10" i="11" s="1"/>
  <c r="D14" i="7"/>
  <c r="D15" i="7" s="1"/>
  <c r="H9" i="10"/>
  <c r="H10" i="10" s="1"/>
  <c r="G12" i="11"/>
  <c r="G13" i="11" s="1"/>
  <c r="D9" i="10"/>
  <c r="D10" i="10" s="1"/>
  <c r="D12" i="8"/>
  <c r="D13" i="8" s="1"/>
  <c r="D9" i="8"/>
  <c r="D10" i="8" s="1"/>
  <c r="D11" i="7"/>
  <c r="D12" i="7" s="1"/>
  <c r="D15" i="8"/>
  <c r="D16" i="8" s="1"/>
  <c r="D15" i="11"/>
  <c r="D16" i="11" s="1"/>
  <c r="D8" i="7"/>
  <c r="D9" i="7" s="1"/>
  <c r="D6" i="8"/>
  <c r="D7" i="8" s="1"/>
  <c r="D18" i="8"/>
  <c r="D19" i="8" s="1"/>
  <c r="D5" i="7"/>
  <c r="H6" i="11"/>
  <c r="H7" i="11" s="1"/>
  <c r="H6" i="8"/>
  <c r="H7" i="8" s="1"/>
  <c r="H12" i="8"/>
  <c r="H13" i="8" s="1"/>
  <c r="H15" i="8"/>
  <c r="H16" i="8" s="1"/>
  <c r="H9" i="8"/>
  <c r="H10" i="8" s="1"/>
  <c r="H18" i="8"/>
  <c r="H19" i="8" s="1"/>
  <c r="G25" i="8"/>
  <c r="G6" i="11"/>
  <c r="G7" i="11" s="1"/>
  <c r="G9" i="10"/>
  <c r="G10" i="10" s="1"/>
  <c r="G18" i="8"/>
  <c r="G19" i="8" s="1"/>
  <c r="G11" i="7"/>
  <c r="G12" i="7" s="1"/>
  <c r="G9" i="8"/>
  <c r="G10" i="8" s="1"/>
  <c r="G8" i="7"/>
  <c r="G9" i="7" s="1"/>
  <c r="G6" i="8"/>
  <c r="G7" i="8" s="1"/>
  <c r="G12" i="8"/>
  <c r="G13" i="8" s="1"/>
  <c r="G5" i="7"/>
  <c r="G6" i="7" s="1"/>
  <c r="G15" i="8"/>
  <c r="G16" i="8" s="1"/>
  <c r="F17" i="7"/>
  <c r="F18" i="7" s="1"/>
  <c r="F9" i="9"/>
  <c r="F10" i="9" s="1"/>
  <c r="F15" i="11"/>
  <c r="F16" i="11" s="1"/>
  <c r="F14" i="7"/>
  <c r="F15" i="7" s="1"/>
  <c r="F9" i="10"/>
  <c r="F10" i="10" s="1"/>
  <c r="F24" i="8"/>
  <c r="F25" i="8" s="1"/>
  <c r="F6" i="10"/>
  <c r="F7" i="10" s="1"/>
  <c r="F9" i="11"/>
  <c r="F10" i="11" s="1"/>
  <c r="F21" i="8"/>
  <c r="F22" i="8" s="1"/>
  <c r="F6" i="9"/>
  <c r="F7" i="9" s="1"/>
  <c r="F12" i="9"/>
  <c r="F13" i="9" s="1"/>
  <c r="F6" i="11"/>
  <c r="F7" i="11" s="1"/>
  <c r="F12" i="11"/>
  <c r="F13" i="11" s="1"/>
  <c r="F15" i="8"/>
  <c r="F16" i="8" s="1"/>
  <c r="F9" i="8"/>
  <c r="F10" i="8" s="1"/>
  <c r="F11" i="7"/>
  <c r="F12" i="7" s="1"/>
  <c r="F5" i="7"/>
  <c r="F6" i="7" s="1"/>
  <c r="F18" i="8"/>
  <c r="F19" i="8" s="1"/>
  <c r="F12" i="8"/>
  <c r="F13" i="8" s="1"/>
  <c r="F6" i="8"/>
  <c r="F7" i="8" s="1"/>
  <c r="F8" i="7"/>
  <c r="F9" i="7" s="1"/>
  <c r="E25" i="8"/>
  <c r="D22" i="8"/>
  <c r="E22" i="8"/>
  <c r="D25" i="8"/>
  <c r="H41" i="4" l="1"/>
  <c r="H38" i="4"/>
  <c r="C14" i="40"/>
  <c r="C33" i="40"/>
  <c r="E40" i="29"/>
  <c r="E41" i="29" s="1"/>
  <c r="G13" i="29"/>
  <c r="J12" i="29"/>
  <c r="J11" i="29"/>
  <c r="J10" i="29"/>
  <c r="F40" i="29"/>
  <c r="F41" i="29" s="1"/>
  <c r="I40" i="29"/>
  <c r="I41" i="29" s="1"/>
  <c r="G40" i="29"/>
  <c r="G41" i="29" s="1"/>
  <c r="N39" i="29"/>
  <c r="L39" i="29"/>
  <c r="D6" i="7"/>
  <c r="H40" i="29"/>
  <c r="H41" i="29" s="1"/>
  <c r="C30" i="40" l="1"/>
  <c r="C31" i="40"/>
  <c r="C18" i="40"/>
  <c r="C38" i="40"/>
  <c r="C7" i="40"/>
  <c r="C34" i="40"/>
  <c r="C12" i="40"/>
  <c r="C4" i="40"/>
  <c r="C35" i="40"/>
  <c r="C45" i="40"/>
  <c r="C49" i="40"/>
  <c r="C36" i="40"/>
  <c r="C47" i="40"/>
  <c r="C51" i="40"/>
  <c r="C44" i="40"/>
  <c r="C52" i="40"/>
  <c r="J13" i="29"/>
  <c r="C41" i="40" l="1"/>
  <c r="C24" i="40"/>
  <c r="C50" i="40"/>
  <c r="C21" i="40"/>
  <c r="C40" i="40"/>
  <c r="C25" i="40"/>
  <c r="C39" i="40"/>
  <c r="C19" i="40"/>
  <c r="C8" i="40"/>
  <c r="C32" i="40"/>
  <c r="C48" i="40"/>
  <c r="C22" i="40"/>
  <c r="C37" i="40"/>
  <c r="C26" i="40"/>
  <c r="C46" i="40"/>
  <c r="C23" i="40"/>
  <c r="C13" i="40"/>
  <c r="C10" i="40"/>
  <c r="C15" i="40"/>
  <c r="C9" i="40"/>
  <c r="C11" i="40"/>
  <c r="C16" i="40"/>
  <c r="C17" i="40"/>
  <c r="C6" i="40"/>
  <c r="E19" i="29"/>
  <c r="E21" i="29" s="1"/>
  <c r="E18" i="29"/>
  <c r="N13" i="29" s="1"/>
  <c r="G35" i="1"/>
  <c r="G36" i="1" s="1"/>
  <c r="F35" i="1"/>
  <c r="F36" i="1" s="1"/>
  <c r="E35" i="1"/>
  <c r="E36" i="1" s="1"/>
  <c r="D35" i="1"/>
  <c r="D36" i="1" s="1"/>
  <c r="C36" i="1"/>
  <c r="D54" i="2" l="1"/>
  <c r="E54" i="2"/>
  <c r="F54" i="2"/>
  <c r="G54" i="2"/>
  <c r="C54" i="2"/>
  <c r="D48" i="2"/>
  <c r="E48" i="2"/>
  <c r="F48" i="2"/>
  <c r="G48" i="2"/>
  <c r="C48" i="2"/>
  <c r="D17" i="2"/>
  <c r="E17" i="2"/>
  <c r="F17" i="2"/>
  <c r="G17" i="2"/>
  <c r="C17" i="2"/>
  <c r="D5" i="2"/>
  <c r="E5" i="2"/>
  <c r="F5" i="2"/>
  <c r="G5" i="2"/>
  <c r="C5" i="2"/>
  <c r="G66" i="2" l="1"/>
  <c r="G31" i="2"/>
  <c r="F66" i="2"/>
  <c r="F31" i="2"/>
  <c r="E66" i="2"/>
  <c r="E31" i="2"/>
  <c r="D66" i="2"/>
  <c r="D31" i="2"/>
  <c r="C66" i="2"/>
  <c r="C31" i="2"/>
  <c r="C23" i="1"/>
  <c r="C26" i="1" s="1"/>
  <c r="C29" i="1" s="1"/>
  <c r="C31" i="1" s="1"/>
  <c r="E23" i="1"/>
  <c r="E26" i="1" s="1"/>
  <c r="E29" i="1" s="1"/>
  <c r="E31" i="1" s="1"/>
  <c r="F23" i="1"/>
  <c r="F26" i="1" s="1"/>
  <c r="F29" i="1" s="1"/>
  <c r="F31" i="1" s="1"/>
  <c r="G23" i="1"/>
  <c r="G26" i="1" s="1"/>
  <c r="G29" i="1" s="1"/>
  <c r="G31" i="1" s="1"/>
  <c r="D23" i="1"/>
  <c r="D26" i="1" s="1"/>
  <c r="D29" i="1" s="1"/>
  <c r="D31" i="1" s="1"/>
  <c r="D34" i="1" l="1"/>
  <c r="D43" i="2"/>
  <c r="D46" i="2" s="1"/>
  <c r="G34" i="1"/>
  <c r="G43" i="2"/>
  <c r="G46" i="2" s="1"/>
  <c r="D67" i="2"/>
  <c r="F43" i="2"/>
  <c r="F46" i="2" s="1"/>
  <c r="F67" i="2" s="1"/>
  <c r="F34" i="1"/>
  <c r="E43" i="2"/>
  <c r="E46" i="2" s="1"/>
  <c r="E67" i="2" s="1"/>
  <c r="E34" i="1"/>
  <c r="C34" i="1"/>
  <c r="C43" i="2"/>
  <c r="C46" i="2" s="1"/>
  <c r="C67" i="2" s="1"/>
  <c r="G67" i="2"/>
</calcChain>
</file>

<file path=xl/sharedStrings.xml><?xml version="1.0" encoding="utf-8"?>
<sst xmlns="http://schemas.openxmlformats.org/spreadsheetml/2006/main" count="1666" uniqueCount="523">
  <si>
    <t>Demonstração de Resultados</t>
  </si>
  <si>
    <t>RENDIMENTOS E GASTOS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</si>
  <si>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</si>
  <si>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</si>
  <si>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</si>
  <si>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</si>
  <si>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</si>
  <si>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CMVMC (Custos das mercadorias vendidas e das matérias consumidas)</t>
  </si>
  <si>
    <t>Fornecimentos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</si>
  <si>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</si>
  <si>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</si>
  <si>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</si>
  <si>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</si>
  <si>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</si>
  <si>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Outras imparidades (perdas/reversões) / Imparidades (perdas/reversões) - pequenas e microemp.</t>
  </si>
  <si>
    <t>Aumentos/reduções de justo valor</t>
  </si>
  <si>
    <t>Outros rendimentos e ganhos</t>
  </si>
  <si>
    <t>Dos quais Rendimentos Suplementares</t>
  </si>
  <si>
    <t>Outros gastos e perdas</t>
  </si>
  <si>
    <t>Dos quais Impostos Indiretos</t>
  </si>
  <si>
    <t>EBITDA (Resultado antes de depreciações, gastos financeiros e impostos)</t>
  </si>
  <si>
    <t>Gastos/reversões de depreciações e de amortização</t>
  </si>
  <si>
    <t>Imparidade de investimentos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</si>
  <si>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</si>
  <si>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</si>
  <si>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</si>
  <si>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</si>
  <si>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</si>
  <si>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</si>
  <si>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Balanço</t>
  </si>
  <si>
    <t>A T I V O</t>
  </si>
  <si>
    <t>Ativo não corrente</t>
  </si>
  <si>
    <t>Ativos fixos tangíveis</t>
  </si>
  <si>
    <t>Propriedades de investimento</t>
  </si>
  <si>
    <t>Goodwill</t>
  </si>
  <si>
    <t>Ativos intangíveis</t>
  </si>
  <si>
    <t>Ativos biológicos</t>
  </si>
  <si>
    <t>Participações financeiras - mét eqival patrimonial</t>
  </si>
  <si>
    <t>Participações financeiras - outros métodos</t>
  </si>
  <si>
    <t>Acionistas/sócios</t>
  </si>
  <si>
    <t>Outros ativos financeiros</t>
  </si>
  <si>
    <t>Ativos por impostos diferidos</t>
  </si>
  <si>
    <t>Investimentos financeiros</t>
  </si>
  <si>
    <t>Ativo corrente</t>
  </si>
  <si>
    <t>Inventários</t>
  </si>
  <si>
    <t>Clientes</t>
  </si>
  <si>
    <t>Adiantamentos a fornecedores</t>
  </si>
  <si>
    <t>Estados e outros entes públicos</t>
  </si>
  <si>
    <t>Outras contas a receber</t>
  </si>
  <si>
    <t>Diferimentos</t>
  </si>
  <si>
    <t>Ativos financeiros detidos para negociação</t>
  </si>
  <si>
    <t>Ativos não correntes detidos para venda</t>
  </si>
  <si>
    <t>Outros ativos correntes</t>
  </si>
  <si>
    <t>Caixa e depósitos bancários</t>
  </si>
  <si>
    <t>TOTAL DO ATIVO</t>
  </si>
  <si>
    <t>CAPITAL PRÓPRIO E PASSIVO</t>
  </si>
  <si>
    <t>Capital realizado</t>
  </si>
  <si>
    <t>Acções (quotas) próprias</t>
  </si>
  <si>
    <t>Outros instrumentos de capital próprio</t>
  </si>
  <si>
    <t>Prémios de emissão</t>
  </si>
  <si>
    <t>Reservas legais</t>
  </si>
  <si>
    <t>Outras reservas</t>
  </si>
  <si>
    <t>Resultados transitados</t>
  </si>
  <si>
    <t>Ajustamentos em ativos financeiros</t>
  </si>
  <si>
    <t>Excedentes de revalorização</t>
  </si>
  <si>
    <t>Outras variações no capital próprio</t>
  </si>
  <si>
    <t>Resultado líquido do período</t>
  </si>
  <si>
    <t>Interesses minoritários</t>
  </si>
  <si>
    <t>Dividendos antecipados</t>
  </si>
  <si>
    <t xml:space="preserve">TOTAL DO CAPITAL PRÓPRIO </t>
  </si>
  <si>
    <t>PASSIVO</t>
  </si>
  <si>
    <t>Passivo não corrente</t>
  </si>
  <si>
    <t>Provisões</t>
  </si>
  <si>
    <t>Financiamentos obtidos</t>
  </si>
  <si>
    <t>Responsabilidades por benefícios pós-emprego</t>
  </si>
  <si>
    <t>Passivo por impostos diferidos</t>
  </si>
  <si>
    <t>Outras contas a pagar</t>
  </si>
  <si>
    <t>Passivo corrente</t>
  </si>
  <si>
    <t>Fornecedores</t>
  </si>
  <si>
    <t>Adiantamentos de clientes</t>
  </si>
  <si>
    <t>Estado e outros entes públicos</t>
  </si>
  <si>
    <t>Passivos financeiros detidos para negociação</t>
  </si>
  <si>
    <t>Outros passivos financeiros</t>
  </si>
  <si>
    <t>Passivos não correntes detidos para venda</t>
  </si>
  <si>
    <t>Outros passivos correntes</t>
  </si>
  <si>
    <t>TOTAL DO PASSIVO</t>
  </si>
  <si>
    <t>TOTAL DO CAPITAL PRÓPRIO + PASSIVO</t>
  </si>
  <si>
    <t>Autofinanciamento</t>
  </si>
  <si>
    <t>VBP</t>
  </si>
  <si>
    <t>VAB</t>
  </si>
  <si>
    <t>Nível de Valor Acrescentado</t>
  </si>
  <si>
    <t>Indicador</t>
  </si>
  <si>
    <t>Fórmula de Cálculo</t>
  </si>
  <si>
    <t>VAB/VBP x 100</t>
  </si>
  <si>
    <t>Autonomia Financeira</t>
  </si>
  <si>
    <t>Margem Bruta</t>
  </si>
  <si>
    <t>Margem Operacional</t>
  </si>
  <si>
    <t>EBITDA/Volume de Negócios</t>
  </si>
  <si>
    <t>(Volume de Negócios-CMVMC)/Volume de Negócios</t>
  </si>
  <si>
    <t>Margem Líquida</t>
  </si>
  <si>
    <t>Resultados Líquidos / Volume de Negócios</t>
  </si>
  <si>
    <t>Turnover do Ativo</t>
  </si>
  <si>
    <t>Rentabilidade do Negócio</t>
  </si>
  <si>
    <t>Rentabilidade do Ativo</t>
  </si>
  <si>
    <t>Resultados Líquidos / Ativo</t>
  </si>
  <si>
    <t>(CMVMC + FSE + Gastos com Pessoal) / Volume de Negócios</t>
  </si>
  <si>
    <t>Volume de negócios/ Ativo</t>
  </si>
  <si>
    <t>Gastos com pessoal / Volume de Negócios</t>
  </si>
  <si>
    <t>FSE / Voluma de Negócios</t>
  </si>
  <si>
    <t>% Rh no Volume de Negócios</t>
  </si>
  <si>
    <t>% FSE no Volume de Negócios</t>
  </si>
  <si>
    <t>% Custos no Volume de Negócios</t>
  </si>
  <si>
    <t>% CMVMC / Volume de negócios</t>
  </si>
  <si>
    <t>CMVMC / Volume de Negócios</t>
  </si>
  <si>
    <t>Prazo Médio de Pagamentos</t>
  </si>
  <si>
    <t>Prazo Médio de Recebimentos</t>
  </si>
  <si>
    <t>(Fornecedores / (Compras x (1+Tx IVA)) x 365</t>
  </si>
  <si>
    <t>Clientes / ((Vendas x (1+tx . IVA)) x 365</t>
  </si>
  <si>
    <t>Liquidez</t>
  </si>
  <si>
    <t>Liquidez Geral</t>
  </si>
  <si>
    <t>Ativo Corrente / Passivo Corrente</t>
  </si>
  <si>
    <t>Liquidez Reduzida</t>
  </si>
  <si>
    <t>(Ativo corrente - Inventários) / Passivo Corrente</t>
  </si>
  <si>
    <t>Liquidez imediata</t>
  </si>
  <si>
    <t>Caixa e Depósitos Bancários / Passivo Corrente</t>
  </si>
  <si>
    <t>Financeiros</t>
  </si>
  <si>
    <t>Capital Próprio/Ativo</t>
  </si>
  <si>
    <t>Endividamento</t>
  </si>
  <si>
    <t>Passivo/Ativo</t>
  </si>
  <si>
    <t>Solvabilidade</t>
  </si>
  <si>
    <t>Ativo/Passivo</t>
  </si>
  <si>
    <t>Alavancagem Financeira</t>
  </si>
  <si>
    <t>Financiamento Obtido / (CP+Financiamentos Obtidos)</t>
  </si>
  <si>
    <t>Retorno</t>
  </si>
  <si>
    <t>Rentabilidade do Capital Investido</t>
  </si>
  <si>
    <t>Rentabilidade do Capital Próprio</t>
  </si>
  <si>
    <t>(Ebit - Imposto) / Ativo</t>
  </si>
  <si>
    <t>Resultado Líquido / Capital Próprio</t>
  </si>
  <si>
    <t>Empresa</t>
  </si>
  <si>
    <t>Média do Setor</t>
  </si>
  <si>
    <t>Entidade</t>
  </si>
  <si>
    <t>VAB/VBP</t>
  </si>
  <si>
    <t>Volume de Negócios</t>
  </si>
  <si>
    <t>EBITDA</t>
  </si>
  <si>
    <t>CMVMC</t>
  </si>
  <si>
    <t>Gastos com Pessoal</t>
  </si>
  <si>
    <t>FSE</t>
  </si>
  <si>
    <t>Resultados Líquidos</t>
  </si>
  <si>
    <t>Ativo</t>
  </si>
  <si>
    <t>Passivo</t>
  </si>
  <si>
    <t>Capital Próprio</t>
  </si>
  <si>
    <t>Ativo Corrente</t>
  </si>
  <si>
    <t>Passivo Corrente</t>
  </si>
  <si>
    <t>Financiamentos Obtidos</t>
  </si>
  <si>
    <t>Imposto</t>
  </si>
  <si>
    <t>Rúbricas</t>
  </si>
  <si>
    <t>Taxa de VAB na CAE</t>
  </si>
  <si>
    <t>Diferença (Empresa - Média do Setor) - em Pp (Pontos percentuais)</t>
  </si>
  <si>
    <t>Prazo médio de recebimentos</t>
  </si>
  <si>
    <t>EBIT</t>
  </si>
  <si>
    <t>Rentabilidade do negócios</t>
  </si>
  <si>
    <t>Operacionais</t>
  </si>
  <si>
    <t>Rentabilidade do negócio</t>
  </si>
  <si>
    <t>2017 Quartil 1</t>
  </si>
  <si>
    <t>2017 Mediana</t>
  </si>
  <si>
    <t>2017 Quartil 3</t>
  </si>
  <si>
    <t>2017 Valor Médio</t>
  </si>
  <si>
    <t>2017 Total</t>
  </si>
  <si>
    <t>2018 Quartil 1</t>
  </si>
  <si>
    <t>2018 Mediana</t>
  </si>
  <si>
    <t>2018 Quartil 3</t>
  </si>
  <si>
    <t>2018 Valor Médio</t>
  </si>
  <si>
    <t>2018 Total</t>
  </si>
  <si>
    <t>2019 Quartil 1</t>
  </si>
  <si>
    <t>2019 Mediana</t>
  </si>
  <si>
    <t>2019 Quartil 3</t>
  </si>
  <si>
    <t>2019 Valor Médio</t>
  </si>
  <si>
    <t>2019 Total</t>
  </si>
  <si>
    <t>2020 Quartil 1</t>
  </si>
  <si>
    <t>2020 Mediana</t>
  </si>
  <si>
    <t>2020 Quartil 3</t>
  </si>
  <si>
    <t>2020 Valor Médio</t>
  </si>
  <si>
    <t>2020 Total</t>
  </si>
  <si>
    <t>2021 Quartil 1</t>
  </si>
  <si>
    <t>2021 Mediana</t>
  </si>
  <si>
    <t>2021 Quartil 3</t>
  </si>
  <si>
    <t>2021 Valor Médio</t>
  </si>
  <si>
    <t>2021 Total</t>
  </si>
  <si>
    <t>Ajustamentos em ativos financeiros e excedentes de revalorização</t>
  </si>
  <si>
    <t>Alavancagem financeira</t>
  </si>
  <si>
    <t>Aquisição líquida de investimentos não financeiros (tangíveis e intangíveis)</t>
  </si>
  <si>
    <t>Ativos intangíveis e goodwill</t>
  </si>
  <si>
    <t>Ativos líquidos não correntes detidos para venda</t>
  </si>
  <si>
    <t>Autofinanciamento operacional</t>
  </si>
  <si>
    <t>Autonomia financeira</t>
  </si>
  <si>
    <t>Caixa e depósitos bancários em percentagem do ativo</t>
  </si>
  <si>
    <t>Caixa e seus equivalentes no fim do período</t>
  </si>
  <si>
    <t>Caixa e seus equivalentes no início do período</t>
  </si>
  <si>
    <t>Capital próprio</t>
  </si>
  <si>
    <t>Capital próprio em percentagem do ativo</t>
  </si>
  <si>
    <t>Capital próprio, exceto resultado líquido</t>
  </si>
  <si>
    <t>Capital, prémios de emissão e outros instrumentos de capital próprio</t>
  </si>
  <si>
    <t>Clientes em percentagem do ativo</t>
  </si>
  <si>
    <t>Cobertura dos gastos de financiamento</t>
  </si>
  <si>
    <t>Compras</t>
  </si>
  <si>
    <t>Compras de bens e serviços no mercado externo</t>
  </si>
  <si>
    <t>Compras de bens e serviços no mercado interno</t>
  </si>
  <si>
    <t>Concentração do agregado (ativo)</t>
  </si>
  <si>
    <t>Concentração do agregado (vendas e serviços prestados)</t>
  </si>
  <si>
    <t>Consumo intermédio</t>
  </si>
  <si>
    <t>Custo dos financiamentos obtidos</t>
  </si>
  <si>
    <t>Diferimentos (ativo)</t>
  </si>
  <si>
    <t>Diferimentos (passivo)</t>
  </si>
  <si>
    <t>Duração líquida do ciclo de exploração</t>
  </si>
  <si>
    <t>Efeito da atividade de exploração e financeira</t>
  </si>
  <si>
    <t>Efeito da atividade de financiamento</t>
  </si>
  <si>
    <t>Efeito das diferenças de câmbio</t>
  </si>
  <si>
    <t>Efeito fiscal</t>
  </si>
  <si>
    <t>Empréstimos de empresas participadas e participantes em percentagem dos financiamentos obtidos</t>
  </si>
  <si>
    <t>Empréstimos de instituições de crédito e sociedades financeiras em percentagem dos financiamentos obtidos</t>
  </si>
  <si>
    <t>Empréstimos de outros financiadores em percentagem dos financiamentos obtidos</t>
  </si>
  <si>
    <t>Entradas de empresas (natalidade) (nº)</t>
  </si>
  <si>
    <t>Estado e outros entes públicos (ativo)</t>
  </si>
  <si>
    <t>Estado e outros entes públicos (passivo)</t>
  </si>
  <si>
    <t>Financiamento líquido por dívida comercial em percentagem do volume de negócios</t>
  </si>
  <si>
    <t>Financiamentos obtidos correntes</t>
  </si>
  <si>
    <t>Financiamentos obtidos correntes em percentagem dos financiamentos obtidos</t>
  </si>
  <si>
    <t>Financiamentos obtidos em percentagem do ativo</t>
  </si>
  <si>
    <t>Financiamentos obtidos em percentagem do passivo</t>
  </si>
  <si>
    <t>Financiamentos obtidos não correntes</t>
  </si>
  <si>
    <t>Fluxos de caixa das atividades de financiamento</t>
  </si>
  <si>
    <t>Fluxos de caixa das atividades de investimento</t>
  </si>
  <si>
    <t>Fluxos de caixa das atividades operacionais</t>
  </si>
  <si>
    <t>Fluxos de caixa das atividades operacionais (outros recebimentos líquidos de pagamentos operacionais)</t>
  </si>
  <si>
    <t>Fluxos de caixa das atividades operacionais (pagamentos a fornecedores)</t>
  </si>
  <si>
    <t>Fluxos de caixa das atividades operacionais (recebimentos de clientes)</t>
  </si>
  <si>
    <t>Fornecedores em percentagem do ativo</t>
  </si>
  <si>
    <t>Free cash flow</t>
  </si>
  <si>
    <t>Fundo de maneio</t>
  </si>
  <si>
    <t>Gastos</t>
  </si>
  <si>
    <t>Gastos com o pessoal em percentagem dos rendimentos</t>
  </si>
  <si>
    <t>Gastos de depreciação e de amortização</t>
  </si>
  <si>
    <t>Gastos de depreciação e de amortização em percentagem dos rendimentos</t>
  </si>
  <si>
    <t>Gastos de financiamento</t>
  </si>
  <si>
    <t>Gastos de financiamento em percentagem dos rendimentos</t>
  </si>
  <si>
    <t>Gastos financeiros, exceto de financiamento</t>
  </si>
  <si>
    <t>Imparidades (perdas/reversões) de inventários, clientes e dívidas a receber</t>
  </si>
  <si>
    <t>Imparidades e variações de justo valor em ativos financeiros</t>
  </si>
  <si>
    <t>Imparidades e variações de justo valor em ativos fixos não financeiros</t>
  </si>
  <si>
    <t>Imposto sobre o rendimento do período em percentagem dos rendimentos</t>
  </si>
  <si>
    <t>Instrumentos financeiros líquidos</t>
  </si>
  <si>
    <t>Inventários e ativos biológicos consumíveis em percentagem do ativo</t>
  </si>
  <si>
    <t>Investimentos financeiros em percentagem do ativo</t>
  </si>
  <si>
    <t>Investimentos não financeiros</t>
  </si>
  <si>
    <t>Investimentos não financeiros em percentagem do ativo</t>
  </si>
  <si>
    <t>Liquidez geral</t>
  </si>
  <si>
    <t>Liquidez reduzida</t>
  </si>
  <si>
    <t>Margem EBIT em percentagem dos rendimentos</t>
  </si>
  <si>
    <t>Margem EBITDA em percentagem dos rendimentos</t>
  </si>
  <si>
    <t>Margem EBT em percentagem dos rendimentos</t>
  </si>
  <si>
    <t>Margem bruta</t>
  </si>
  <si>
    <t>Margem bruta em percentagem dos rendimentos</t>
  </si>
  <si>
    <t>Necessidades (+) / Recursos (-) de fundo de maneio</t>
  </si>
  <si>
    <t>Número de empresas</t>
  </si>
  <si>
    <t>Número de pessoas ao serviço</t>
  </si>
  <si>
    <t>Outros gastos e rendimentos em percentagem dos rendimentos</t>
  </si>
  <si>
    <t>Outros gastos, exceto gastos financeiros e de financiamento</t>
  </si>
  <si>
    <t>Outros rendimentos, exceto rendimentos financeiros e de financiamento</t>
  </si>
  <si>
    <t>Passivos por impostos diferidos</t>
  </si>
  <si>
    <t>Percentagem de empresas com EBITDA negativo</t>
  </si>
  <si>
    <t>Percentagem de empresas com capital próprio negativo</t>
  </si>
  <si>
    <t>Percentagem de empresas com gastos de financiamento superiores ao EBITDA</t>
  </si>
  <si>
    <t>Percentagem de empresas com resultado líquido negativo</t>
  </si>
  <si>
    <t>Peso do mercado externo nas compras de bens e serviços</t>
  </si>
  <si>
    <t>Peso do mercado externo nas vendas e serviços prestados</t>
  </si>
  <si>
    <t>Prazo médio de pagamentos</t>
  </si>
  <si>
    <t>Prazo médio de pagamentos face ao exterior</t>
  </si>
  <si>
    <t>Prazo médio de recebimentos face ao exterior</t>
  </si>
  <si>
    <t>Prazo médio de rotação de inventários</t>
  </si>
  <si>
    <t>Pressão financeira (Gastos de financiamento / EBITDA)</t>
  </si>
  <si>
    <t>Produção</t>
  </si>
  <si>
    <t>Remunerações</t>
  </si>
  <si>
    <t>Rendibilidade bruta dos capitais investidos</t>
  </si>
  <si>
    <t>Rendibilidade do ativo</t>
  </si>
  <si>
    <t>Rendibilidade dos capitais próprios</t>
  </si>
  <si>
    <t>Rendimentos</t>
  </si>
  <si>
    <t>Rendimentos financeiros e de financiamento</t>
  </si>
  <si>
    <t>Repartição dos rendimentos (Estado)</t>
  </si>
  <si>
    <t>Repartição dos rendimentos (autofinanciamento da empresa)</t>
  </si>
  <si>
    <t>Repartição dos rendimentos (bancos e outros financiadores)</t>
  </si>
  <si>
    <t>Repartição dos rendimentos (fornecedores)</t>
  </si>
  <si>
    <t>Repartição dos rendimentos (outros)</t>
  </si>
  <si>
    <t>Repartição dos rendimentos (pessoal)</t>
  </si>
  <si>
    <t>Reservas e resultados transitados</t>
  </si>
  <si>
    <t>Restantes ativos correntes</t>
  </si>
  <si>
    <t>Restantes ativos em percentagem do ativo</t>
  </si>
  <si>
    <t>Restantes ativos não correntes</t>
  </si>
  <si>
    <t>Restantes passivos correntes</t>
  </si>
  <si>
    <t>Restantes passivos em percentagem do ativo</t>
  </si>
  <si>
    <t>Restantes passivos não correntes</t>
  </si>
  <si>
    <t>Resultado antes de impostos (EBT)</t>
  </si>
  <si>
    <t>Resultado de exploração</t>
  </si>
  <si>
    <t>Rácio dos financiamentos obtidos sobre EBITDA</t>
  </si>
  <si>
    <t>Saídas de empresas (mortalidade) (nº)</t>
  </si>
  <si>
    <t>Serviços prestados</t>
  </si>
  <si>
    <t>Tesouraria líquida</t>
  </si>
  <si>
    <t>Títulos de dívida em percentagem dos financiamentos obtidos</t>
  </si>
  <si>
    <t>VAB em percentagem da produção</t>
  </si>
  <si>
    <t>Valor acrescentado bruto (VAB)</t>
  </si>
  <si>
    <t>Variação de caixa e seus equivalentes</t>
  </si>
  <si>
    <t>Vendas e serviços prestados no mercado externo</t>
  </si>
  <si>
    <t>Vendas e serviços prestados no mercado interno</t>
  </si>
  <si>
    <t>Caixa e Depósitos Bancários</t>
  </si>
  <si>
    <t>2017</t>
  </si>
  <si>
    <t>2018</t>
  </si>
  <si>
    <t>2019</t>
  </si>
  <si>
    <t>2020</t>
  </si>
  <si>
    <t>2021</t>
  </si>
  <si>
    <t>mediana</t>
  </si>
  <si>
    <t>terceiro quartil</t>
  </si>
  <si>
    <t>primeiro quartil</t>
  </si>
  <si>
    <t>Margem operacional</t>
  </si>
  <si>
    <t>empresa</t>
  </si>
  <si>
    <t>Rentabilidade do ativo</t>
  </si>
  <si>
    <t>indicadores empresa</t>
  </si>
  <si>
    <t>indicadores setor</t>
  </si>
  <si>
    <t>Para o índice dropdown</t>
  </si>
  <si>
    <t>Para os quadrados que mudam de cor de acordo com o desempenho</t>
  </si>
  <si>
    <t>Margem líquida</t>
  </si>
  <si>
    <t>A rentabilidade do ativo é o retorno financeiro que deve ser gerado a partir da aplicação. Em outras palavras, é quanto o investidor pode ganhar acima do valor aplicado. Assim, essa informação pode determinar se o investimento é viável ou não.</t>
  </si>
  <si>
    <t>Fraco</t>
  </si>
  <si>
    <t>Forte</t>
  </si>
  <si>
    <t>Moderadamente fraco</t>
  </si>
  <si>
    <t>Moderadamente forte</t>
  </si>
  <si>
    <t>Média móvel</t>
  </si>
  <si>
    <t>Descrição do desempenho</t>
  </si>
  <si>
    <t>Desempenho</t>
  </si>
  <si>
    <t>Busca os valores diretamente na tabela todas as rúbricas</t>
  </si>
  <si>
    <t>Divisão</t>
  </si>
  <si>
    <t>A</t>
  </si>
  <si>
    <t>B</t>
  </si>
  <si>
    <t>C</t>
  </si>
  <si>
    <t>E</t>
  </si>
  <si>
    <t>F</t>
  </si>
  <si>
    <t>G</t>
  </si>
  <si>
    <t>H</t>
  </si>
  <si>
    <t>I</t>
  </si>
  <si>
    <t>J</t>
  </si>
  <si>
    <t>M</t>
  </si>
  <si>
    <t>N</t>
  </si>
  <si>
    <t>Q</t>
  </si>
  <si>
    <t>R</t>
  </si>
  <si>
    <t>S</t>
  </si>
  <si>
    <t>nan</t>
  </si>
  <si>
    <t>Todas as Atividades</t>
  </si>
  <si>
    <t>Secção</t>
  </si>
  <si>
    <t>Atividade económica</t>
  </si>
  <si>
    <t>Agricultura, produção animal, caça e atividades dos serviços relacionados</t>
  </si>
  <si>
    <t>Silvicultura e exploração florestal</t>
  </si>
  <si>
    <t>Pesca e aquicultura</t>
  </si>
  <si>
    <t>Extração e preparação de minérios metálicos</t>
  </si>
  <si>
    <t>Outras indústrias extrativas</t>
  </si>
  <si>
    <t>Atividades dos serviços relacionados com as indústrias extrativas</t>
  </si>
  <si>
    <t>Indústrias alimentares</t>
  </si>
  <si>
    <t>Indústria das bebidas</t>
  </si>
  <si>
    <t>Indústria do tabaco</t>
  </si>
  <si>
    <t>Fabricação de têxteis</t>
  </si>
  <si>
    <t>Indústria do vestuário</t>
  </si>
  <si>
    <t>Indústria do couro e dos produtos do couro</t>
  </si>
  <si>
    <t>Indústrias da madeira e da cortiça e suas  obras, exceto mobiliário; Fabricação de obras de cestaria e de espartaria</t>
  </si>
  <si>
    <t>Fabricação de pasta, de papel, de cartão e seus artigos</t>
  </si>
  <si>
    <t>Impressão e reprodução de suportes gravados</t>
  </si>
  <si>
    <t>Fabricação de coque, produtos petrolíferos refinados e de aglomerados de combustíveis</t>
  </si>
  <si>
    <t>Fabricação de produtos químicos e de fibras sintéticas ou artificiais, exceto produtos farmacêuticos</t>
  </si>
  <si>
    <t>Fabricação de produtos farmacêuticos de base e de  preparações farmacêuticas</t>
  </si>
  <si>
    <t>Fabricação de artigos de borracha e de matérias plásticas</t>
  </si>
  <si>
    <t>Fabricação de outros produtos minerais não metálicos</t>
  </si>
  <si>
    <t>Indústrias metalúrgicas de base</t>
  </si>
  <si>
    <t>Fabricação de produtos metálicos, exceto máquinas e equipamentos</t>
  </si>
  <si>
    <t>Fabricação de equipamentos informáticos, equipamento para comunicações e produtos eletrónicos e óticos</t>
  </si>
  <si>
    <t>Fabricação de equipamento elétrico</t>
  </si>
  <si>
    <t>Fabricação de máquinas e de equipamentos, n.e.</t>
  </si>
  <si>
    <t>Fabricação de veículos automóveis, reboques, semi-reboques e componentes para veículos automóveis</t>
  </si>
  <si>
    <t>Fabricação de outro equipamento de transporte</t>
  </si>
  <si>
    <t>Fabrico de mobiliário e de colchões</t>
  </si>
  <si>
    <t>Outras indústrias transformadoras</t>
  </si>
  <si>
    <t>Reparação, manutenção e instalação de máquinas e equipamentos</t>
  </si>
  <si>
    <t>Eletricidade, gás, vapor, água quente e fria e ar frio</t>
  </si>
  <si>
    <t>D</t>
  </si>
  <si>
    <t>Captação, tratamento e distribuição de água</t>
  </si>
  <si>
    <t>Recolha, drenagem e tratamento de águas residuais</t>
  </si>
  <si>
    <t>Captação, tratamento e distribuição de água; saneamento, gestão de resíduos e despoluição</t>
  </si>
  <si>
    <t>Descontaminação e atividades similares</t>
  </si>
  <si>
    <t>Promoção imobiliária (desenvolvimento de projetos de edifícios); construção de edifícios</t>
  </si>
  <si>
    <t>Engenharia civil</t>
  </si>
  <si>
    <t>Atividades especializadas de construção</t>
  </si>
  <si>
    <t>Comércio, manutenção e reparação, de veículos automóveis e motociclos</t>
  </si>
  <si>
    <t>Comércio por grosso (inclui agentes), exceto de veículos automóveis e motociclos</t>
  </si>
  <si>
    <t>Comércio a retalho, exceto de veículos automóveis e motociclos</t>
  </si>
  <si>
    <t>Transportes terrestres e transportes por oleodutos ou gasodutos</t>
  </si>
  <si>
    <t>Transportes por água</t>
  </si>
  <si>
    <t>Transportes aéreos</t>
  </si>
  <si>
    <t>Armazenagem e atividades auxiliares dos transportes(inclui manuseamento)</t>
  </si>
  <si>
    <t>Atividades postais e de courier</t>
  </si>
  <si>
    <t>Alojamento</t>
  </si>
  <si>
    <t>Restauração e similares</t>
  </si>
  <si>
    <t>Atividades de edição</t>
  </si>
  <si>
    <t>Atividades cinematográficas, de vídeo, de produção de programas de televisão, de gravação de som e de edição de música</t>
  </si>
  <si>
    <t>Atividades de rádio e de televisão</t>
  </si>
  <si>
    <t>Telecomunicações</t>
  </si>
  <si>
    <t>Consultoria e programação informática e atividades relacionadas</t>
  </si>
  <si>
    <t>Atividades dos serviços de informação</t>
  </si>
  <si>
    <t>Atividades imobiliárias</t>
  </si>
  <si>
    <t>L</t>
  </si>
  <si>
    <t>Atividades jurídicas e de contabilidade</t>
  </si>
  <si>
    <t>Atividades das sedes sociais e de consultoria para a gestão</t>
  </si>
  <si>
    <t>Atividades de arquitetura, de engenharia e técnicas afins; atividades de ensaios e de análises técnicas</t>
  </si>
  <si>
    <t>Atividades de investigação científica e de desenvolvimento</t>
  </si>
  <si>
    <t>Publicidade, estudos de mercado e sondagens de opinião</t>
  </si>
  <si>
    <t>Outras atividades de consultoria, científicas, técnicas e similares</t>
  </si>
  <si>
    <t>Atividades veterinárias</t>
  </si>
  <si>
    <t>Atividades de aluguer</t>
  </si>
  <si>
    <t>Atividades de emprego</t>
  </si>
  <si>
    <t>Agências de viagem, operadores turísticos, outros serviços de reservas e atividades relacionadas</t>
  </si>
  <si>
    <t>Atividades de investigação e segurança</t>
  </si>
  <si>
    <t>Atividades relacionadas com edifícios, plantação e manutenção de jardins</t>
  </si>
  <si>
    <t>Atividades de serviços administrativos e de apoio prestados às empresas</t>
  </si>
  <si>
    <t>Educação</t>
  </si>
  <si>
    <t>P</t>
  </si>
  <si>
    <t>Atividades de saúde humana</t>
  </si>
  <si>
    <t>Atividades de apoio social com alojamento</t>
  </si>
  <si>
    <t>Atividades de apoio social sem alojamento</t>
  </si>
  <si>
    <t>Atividades de teatro, de música, de dança e outras atividades artísticas e literárias</t>
  </si>
  <si>
    <t>Atividades das bibliotecas, arquivos, museus e outras atividades culturais</t>
  </si>
  <si>
    <t>Lotarias e outros jogos de aposta</t>
  </si>
  <si>
    <t>Atividades desportivas, de diversão e recreativas</t>
  </si>
  <si>
    <t>Atividades das organizações associativas</t>
  </si>
  <si>
    <t>Reparação de computadores e de bens de uso pessoal e doméstico</t>
  </si>
  <si>
    <t>Outras atividades de serviços pessoais</t>
  </si>
  <si>
    <t>Agricultura, produção animal, caça, floresta e pesca</t>
  </si>
  <si>
    <t>Indústrias extrativas</t>
  </si>
  <si>
    <t>Indústrias transformadoras</t>
  </si>
  <si>
    <t>Recolha, tratamento e eliminação  de resíduos; valorização de materiais</t>
  </si>
  <si>
    <t>Construção</t>
  </si>
  <si>
    <t>Comércio por grosso e a retalho; reparação de veículos automóveis e motociclos</t>
  </si>
  <si>
    <t>Transportes e armazenagem</t>
  </si>
  <si>
    <t>Alojamento, restauração e similares</t>
  </si>
  <si>
    <t>Atividades de informação e de comunicação</t>
  </si>
  <si>
    <t>Atividades de consultoria, científicas, técnicas e similares</t>
  </si>
  <si>
    <t>Atividades administrativas e dos serviços de apoio</t>
  </si>
  <si>
    <t>Atividades de saúde humana e apoio  social</t>
  </si>
  <si>
    <t>Atividades artísticas, de espetáculos, desportivas e recreativas</t>
  </si>
  <si>
    <t>Outras atividades de serviços</t>
  </si>
  <si>
    <t>Total</t>
  </si>
  <si>
    <t>Taxa de Exportação</t>
  </si>
  <si>
    <t>Volume de Negócios Internacioal / Volume de Negócios</t>
  </si>
  <si>
    <t>Valor Gerado por RH</t>
  </si>
  <si>
    <t>VAB / N.º de Recursos Humanos</t>
  </si>
  <si>
    <t>Volume de negócios Internacioal / Volume de Negócios</t>
  </si>
  <si>
    <t>VAB/N.º de Recursos Humanos</t>
  </si>
  <si>
    <t>Valor gerado por RH</t>
  </si>
  <si>
    <t>Índice</t>
  </si>
  <si>
    <t>Valor Acrescentado Bruto (VAB)</t>
  </si>
  <si>
    <t>N.º de Recursos Humaos</t>
  </si>
  <si>
    <t>Indicadores</t>
  </si>
  <si>
    <t>Quartil</t>
  </si>
  <si>
    <t>Quartil 1</t>
  </si>
  <si>
    <t>Mediana</t>
  </si>
  <si>
    <t>Quartil 3</t>
  </si>
  <si>
    <t>EBITDA em percentagem do VN</t>
  </si>
  <si>
    <t>Rentabilidade dos Capitais Próprios</t>
  </si>
  <si>
    <t xml:space="preserve">Margem Líquida </t>
  </si>
  <si>
    <t>Segunda tabela gerada para que as categorias aparecessem em certa ordem no dashboard</t>
  </si>
  <si>
    <t>01</t>
  </si>
  <si>
    <t>02</t>
  </si>
  <si>
    <t>03</t>
  </si>
  <si>
    <t>07</t>
  </si>
  <si>
    <t>08</t>
  </si>
  <si>
    <t>09</t>
  </si>
  <si>
    <t>Indicadores com quartis:</t>
  </si>
  <si>
    <t>Quartil 1 - Dimensão aplicável</t>
  </si>
  <si>
    <t>Mediana - Dimensão aplicável</t>
  </si>
  <si>
    <t>Quartil 3 - Dimensão aplicável</t>
  </si>
  <si>
    <t>Média do setor - Dimensão aplicável</t>
  </si>
  <si>
    <t>Média do setor - Todas as dimensões</t>
  </si>
  <si>
    <t>Resultado do último ano registado:</t>
  </si>
  <si>
    <t>Tutorial para o gráfico de tacômetro: https://www.youtube.com/watch?v=aNZFS5p6Ae4</t>
  </si>
  <si>
    <t>Opção para indicadores dos quais se tem informações fornecidas pela empresa e quartis fornecidos pelo banco de portugal</t>
  </si>
  <si>
    <t>Por adicionar: Prazo médio de pagamentos e recebimentos</t>
  </si>
  <si>
    <t>Opção para indicadores dos quais se tem informações da empresa mas não quartis fornecidos pelo BdP</t>
  </si>
  <si>
    <t>Potencialmente adicionar outos indicadores, mas é necessário verificar a diferença de nomenclaturas</t>
  </si>
  <si>
    <t>Média do Setor Todas as Dimensões 2017</t>
  </si>
  <si>
    <t>Média do Setor Dimensão Aplicável 2017</t>
  </si>
  <si>
    <t>Empresa 2017</t>
  </si>
  <si>
    <t>Empresa 2018</t>
  </si>
  <si>
    <t>Média do Setor Todas as Dimensões 2018</t>
  </si>
  <si>
    <t>Média do Setor Dimensão Aplicável 2018</t>
  </si>
  <si>
    <t>Empresa 2019</t>
  </si>
  <si>
    <t>Média do Setor Todas as Dimensões 2019</t>
  </si>
  <si>
    <t>Média do Setor Dimensão Aplicável 2019</t>
  </si>
  <si>
    <t>Empresa 2020</t>
  </si>
  <si>
    <t>Média do Setor Todas as Dimensões 2020</t>
  </si>
  <si>
    <t>Média do Setor Dimensão Aplicável 2020</t>
  </si>
  <si>
    <t>Empresa 2021</t>
  </si>
  <si>
    <t>Média do Setor Todas as Dimensões 2021</t>
  </si>
  <si>
    <t>Média do Setor Dimensão Aplicável 2021</t>
  </si>
  <si>
    <t xml:space="preserve">Quando novos anos estiverem disponíveis, atualizar VLOOKUP, gráfico e célula D14 </t>
  </si>
  <si>
    <t>Tacômetro - Comparação direta feita com a dimensão aplicável no último ano em que há dados</t>
  </si>
  <si>
    <t>Mudar indicador abaixo para comparar e verificar a integridade dos dados nos gráficos abaixo:</t>
  </si>
  <si>
    <t>Obs: Os números que envolvem rácios apresentam diferenças, visto que a média fornecida pelo BP é ponderada e não geométrica. Média artimética  de X dividido por média média aritmética de Y !=  Média aritmética de X dividido por Y</t>
  </si>
  <si>
    <t>Diferença setor aplicável</t>
  </si>
  <si>
    <t>Dados Indisponíveis</t>
  </si>
  <si>
    <t>Em comparação com o setor,  o desempenho da empresa no último ano da comparação foi fraco, figurando entre as 25% piores da mesma dimensão.</t>
  </si>
  <si>
    <t>Em comparação com o setor,  o desempenho da empresa no último ano da comparação foi moderadamente fraco, figurando entre as 50% piores da mesma dimensão.</t>
  </si>
  <si>
    <t>Em comparação com o setor,  o desempenho da empresa no último ano da comparação foi moderadamente forte, figurando entre as 50% melhores da mesma dimensão.</t>
  </si>
  <si>
    <t>Em comparação com o setor,  o desempenho da empresa no último ano da comparação foi forte, figurando entre as 25% melhores da mesma dimensão.</t>
  </si>
  <si>
    <t>38321 - Valorização de resíduos metálicos; Todas as dimensões</t>
  </si>
  <si>
    <t>2022 Quartil 1</t>
  </si>
  <si>
    <t>2022 Mediana</t>
  </si>
  <si>
    <t>2022 Quartil 3</t>
  </si>
  <si>
    <t>2022 Valor Médio</t>
  </si>
  <si>
    <t>2022 Total</t>
  </si>
  <si>
    <t>38321 - Valorização de resíduos metálicos; Microempresas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</si>
</sst>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0\ &quot;€&quot;;[Red]\-#,##0.00\ &quot;€&quot;"/>
    <numFmt numFmtId="165" formatCode="_-* #,##0.00\ &quot;€&quot;_-;\-* #,##0.00\ &quot;€&quot;_-;_-* &quot;-&quot;??\ &quot;€&quot;_-;_-@_-"/>
    <numFmt numFmtId="166" formatCode="#,##0.00\ &quot;€&quot;"/>
    <numFmt numFmtId="167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Tahoma"/>
      <family val="2"/>
    </font>
    <font>
      <sz val="8"/>
      <color theme="1"/>
      <name val="Tahoma"/>
      <family val="2"/>
    </font>
    <font>
      <b/>
      <sz val="10"/>
      <color theme="0"/>
      <name val="Tahoma"/>
      <family val="2"/>
    </font>
    <font>
      <sz val="8"/>
      <name val="Tahoma"/>
      <family val="2"/>
    </font>
    <font>
      <b/>
      <sz val="8"/>
      <color theme="1"/>
      <name val="Tahoma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3"/>
      <name val="Segoe UI"/>
      <family val="2"/>
    </font>
    <font>
      <sz val="14"/>
      <color theme="3"/>
      <name val="Segoe UI"/>
      <family val="2"/>
    </font>
    <font>
      <sz val="11"/>
      <color theme="6"/>
      <name val="Segoe UI"/>
      <family val="2"/>
    </font>
    <font>
      <sz val="8"/>
      <name val="Calibri"/>
      <family val="2"/>
      <scheme val="minor"/>
    </font>
    <font>
      <sz val="10"/>
      <color rgb="FFFFFFFF"/>
      <name val="Tahoma"/>
      <family val="2"/>
    </font>
    <font>
      <sz val="8"/>
      <color rgb="FF000000"/>
      <name val="Tahoma"/>
      <family val="2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16"/>
      <color theme="6"/>
      <name val="Segoe UI"/>
      <family val="2"/>
    </font>
    <font>
      <sz val="10"/>
      <color theme="3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425B"/>
        <bgColor indexed="64"/>
      </patternFill>
    </fill>
    <fill>
      <patternFill patternType="solid">
        <fgColor rgb="FFF09FA2"/>
        <bgColor indexed="64"/>
      </patternFill>
    </fill>
    <fill>
      <patternFill patternType="solid">
        <fgColor rgb="FF8CBCAC"/>
        <bgColor indexed="64"/>
      </patternFill>
    </fill>
    <fill>
      <patternFill patternType="solid">
        <fgColor rgb="FF488F3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000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1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66" fontId="3" fillId="0" borderId="8" xfId="0" applyNumberFormat="1" applyFont="1" applyBorder="1" applyAlignment="1">
      <alignment vertical="center"/>
    </xf>
    <xf numFmtId="166" fontId="3" fillId="0" borderId="11" xfId="0" applyNumberFormat="1" applyFont="1" applyBorder="1" applyAlignment="1">
      <alignment vertical="center"/>
    </xf>
    <xf numFmtId="166" fontId="3" fillId="0" borderId="9" xfId="0" applyNumberFormat="1" applyFont="1" applyBorder="1" applyAlignment="1">
      <alignment vertical="center"/>
    </xf>
    <xf numFmtId="166" fontId="3" fillId="0" borderId="7" xfId="0" applyNumberFormat="1" applyFont="1" applyBorder="1" applyAlignment="1">
      <alignment vertical="center"/>
    </xf>
    <xf numFmtId="166" fontId="3" fillId="0" borderId="12" xfId="0" applyNumberFormat="1" applyFont="1" applyBorder="1" applyAlignment="1">
      <alignment vertical="center"/>
    </xf>
    <xf numFmtId="166" fontId="3" fillId="0" borderId="13" xfId="0" applyNumberFormat="1" applyFont="1" applyBorder="1" applyAlignment="1">
      <alignment vertical="center"/>
    </xf>
    <xf numFmtId="166" fontId="3" fillId="0" borderId="10" xfId="0" applyNumberFormat="1" applyFont="1" applyBorder="1" applyAlignment="1">
      <alignment vertical="center"/>
    </xf>
    <xf numFmtId="166" fontId="3" fillId="0" borderId="14" xfId="0" applyNumberFormat="1" applyFont="1" applyBorder="1" applyAlignment="1">
      <alignment vertical="center"/>
    </xf>
    <xf numFmtId="0" fontId="2" fillId="3" borderId="2" xfId="0" applyFont="1" applyFill="1" applyBorder="1" applyAlignment="1">
      <alignment horizontal="left" vertical="center"/>
    </xf>
    <xf numFmtId="0" fontId="5" fillId="4" borderId="1" xfId="0" applyFont="1" applyFill="1" applyBorder="1"/>
    <xf numFmtId="166" fontId="6" fillId="4" borderId="4" xfId="0" applyNumberFormat="1" applyFont="1" applyFill="1" applyBorder="1" applyAlignment="1">
      <alignment vertical="center"/>
    </xf>
    <xf numFmtId="166" fontId="6" fillId="4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left" indent="1"/>
    </xf>
    <xf numFmtId="0" fontId="4" fillId="3" borderId="2" xfId="0" applyFont="1" applyFill="1" applyBorder="1" applyAlignment="1">
      <alignment horizontal="left" vertical="center"/>
    </xf>
    <xf numFmtId="166" fontId="4" fillId="3" borderId="2" xfId="0" applyNumberFormat="1" applyFont="1" applyFill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166" fontId="0" fillId="0" borderId="0" xfId="0" applyNumberFormat="1"/>
    <xf numFmtId="166" fontId="3" fillId="0" borderId="9" xfId="0" applyNumberFormat="1" applyFont="1" applyBorder="1" applyAlignment="1">
      <alignment horizontal="left" vertical="center"/>
    </xf>
    <xf numFmtId="10" fontId="3" fillId="0" borderId="9" xfId="1" applyNumberFormat="1" applyFont="1" applyBorder="1" applyAlignment="1">
      <alignment horizontal="right" vertical="center"/>
    </xf>
    <xf numFmtId="9" fontId="3" fillId="0" borderId="9" xfId="1" applyFont="1" applyBorder="1" applyAlignment="1">
      <alignment horizontal="right" vertical="center"/>
    </xf>
    <xf numFmtId="167" fontId="3" fillId="0" borderId="9" xfId="1" applyNumberFormat="1" applyFont="1" applyBorder="1" applyAlignment="1">
      <alignment horizontal="right" vertical="center"/>
    </xf>
    <xf numFmtId="10" fontId="3" fillId="0" borderId="9" xfId="1" applyNumberFormat="1" applyFont="1" applyBorder="1" applyAlignment="1">
      <alignment horizontal="left" vertical="center"/>
    </xf>
    <xf numFmtId="10" fontId="3" fillId="0" borderId="9" xfId="1" applyNumberFormat="1" applyFont="1" applyBorder="1" applyAlignment="1">
      <alignment vertical="center"/>
    </xf>
    <xf numFmtId="166" fontId="3" fillId="0" borderId="10" xfId="0" applyNumberFormat="1" applyFont="1" applyBorder="1" applyAlignment="1">
      <alignment horizontal="left" vertical="center"/>
    </xf>
    <xf numFmtId="1" fontId="3" fillId="0" borderId="9" xfId="0" applyNumberFormat="1" applyFont="1" applyBorder="1" applyAlignment="1">
      <alignment horizontal="right" vertical="center"/>
    </xf>
    <xf numFmtId="1" fontId="3" fillId="0" borderId="9" xfId="1" applyNumberFormat="1" applyFont="1" applyBorder="1" applyAlignment="1">
      <alignment horizontal="right" vertical="center"/>
    </xf>
    <xf numFmtId="10" fontId="3" fillId="5" borderId="9" xfId="1" applyNumberFormat="1" applyFont="1" applyFill="1" applyBorder="1" applyAlignment="1">
      <alignment horizontal="right" vertical="center"/>
    </xf>
    <xf numFmtId="166" fontId="3" fillId="5" borderId="9" xfId="0" applyNumberFormat="1" applyFont="1" applyFill="1" applyBorder="1" applyAlignment="1">
      <alignment horizontal="left" vertical="center"/>
    </xf>
    <xf numFmtId="166" fontId="3" fillId="6" borderId="9" xfId="0" applyNumberFormat="1" applyFont="1" applyFill="1" applyBorder="1" applyAlignment="1">
      <alignment horizontal="left" vertical="center"/>
    </xf>
    <xf numFmtId="1" fontId="3" fillId="5" borderId="9" xfId="1" applyNumberFormat="1" applyFont="1" applyFill="1" applyBorder="1" applyAlignment="1">
      <alignment horizontal="right" vertical="center"/>
    </xf>
    <xf numFmtId="1" fontId="3" fillId="6" borderId="9" xfId="1" applyNumberFormat="1" applyFont="1" applyFill="1" applyBorder="1" applyAlignment="1">
      <alignment horizontal="right" vertical="center"/>
    </xf>
    <xf numFmtId="165" fontId="3" fillId="0" borderId="9" xfId="9" applyFont="1" applyBorder="1" applyAlignment="1">
      <alignment horizontal="right" vertical="center"/>
    </xf>
    <xf numFmtId="10" fontId="0" fillId="0" borderId="0" xfId="1" applyNumberFormat="1" applyFont="1"/>
    <xf numFmtId="10" fontId="3" fillId="5" borderId="9" xfId="9" applyNumberFormat="1" applyFont="1" applyFill="1" applyBorder="1" applyAlignment="1">
      <alignment horizontal="right" vertical="center"/>
    </xf>
    <xf numFmtId="167" fontId="3" fillId="5" borderId="9" xfId="1" applyNumberFormat="1" applyFont="1" applyFill="1" applyBorder="1" applyAlignment="1">
      <alignment horizontal="right" vertical="center"/>
    </xf>
    <xf numFmtId="9" fontId="3" fillId="5" borderId="9" xfId="1" applyFont="1" applyFill="1" applyBorder="1" applyAlignment="1">
      <alignment horizontal="right" vertical="center"/>
    </xf>
    <xf numFmtId="9" fontId="3" fillId="6" borderId="9" xfId="1" applyFont="1" applyFill="1" applyBorder="1" applyAlignment="1">
      <alignment horizontal="right" vertical="center"/>
    </xf>
    <xf numFmtId="9" fontId="3" fillId="5" borderId="9" xfId="9" applyNumberFormat="1" applyFont="1" applyFill="1" applyBorder="1" applyAlignment="1">
      <alignment horizontal="right" vertical="center"/>
    </xf>
    <xf numFmtId="0" fontId="3" fillId="0" borderId="9" xfId="9" applyNumberFormat="1" applyFont="1" applyBorder="1" applyAlignment="1">
      <alignment horizontal="right" vertical="center"/>
    </xf>
    <xf numFmtId="0" fontId="9" fillId="0" borderId="15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9" fontId="0" fillId="0" borderId="0" xfId="0" applyNumberFormat="1"/>
    <xf numFmtId="0" fontId="0" fillId="7" borderId="0" xfId="0" applyFill="1"/>
    <xf numFmtId="0" fontId="0" fillId="0" borderId="20" xfId="0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21" xfId="0" applyBorder="1"/>
    <xf numFmtId="0" fontId="0" fillId="0" borderId="22" xfId="0" applyBorder="1"/>
    <xf numFmtId="0" fontId="0" fillId="0" borderId="23" xfId="0" applyBorder="1"/>
    <xf numFmtId="10" fontId="0" fillId="0" borderId="0" xfId="0" applyNumberFormat="1"/>
    <xf numFmtId="0" fontId="10" fillId="0" borderId="0" xfId="0" applyFont="1"/>
    <xf numFmtId="10" fontId="0" fillId="0" borderId="0" xfId="1" applyNumberFormat="1" applyFont="1" applyBorder="1"/>
    <xf numFmtId="10" fontId="3" fillId="0" borderId="0" xfId="1" applyNumberFormat="1" applyFont="1" applyFill="1" applyBorder="1" applyAlignment="1">
      <alignment horizontal="right" vertical="center"/>
    </xf>
    <xf numFmtId="10" fontId="3" fillId="0" borderId="0" xfId="1" applyNumberFormat="1" applyFont="1" applyBorder="1" applyAlignment="1">
      <alignment horizontal="right" vertical="center"/>
    </xf>
    <xf numFmtId="165" fontId="3" fillId="0" borderId="0" xfId="1" applyNumberFormat="1" applyFont="1" applyFill="1" applyBorder="1" applyAlignment="1">
      <alignment horizontal="right" vertical="center"/>
    </xf>
    <xf numFmtId="0" fontId="9" fillId="0" borderId="0" xfId="0" applyFont="1"/>
    <xf numFmtId="10" fontId="9" fillId="0" borderId="0" xfId="0" applyNumberFormat="1" applyFont="1"/>
    <xf numFmtId="0" fontId="12" fillId="0" borderId="0" xfId="0" applyFont="1" applyAlignment="1">
      <alignment shrinkToFit="1"/>
    </xf>
    <xf numFmtId="0" fontId="0" fillId="11" borderId="0" xfId="0" applyFill="1"/>
    <xf numFmtId="0" fontId="11" fillId="0" borderId="19" xfId="0" applyFont="1" applyBorder="1" applyAlignment="1">
      <alignment shrinkToFit="1"/>
    </xf>
    <xf numFmtId="165" fontId="3" fillId="5" borderId="9" xfId="9" applyFont="1" applyFill="1" applyBorder="1" applyAlignment="1">
      <alignment horizontal="right" vertical="center"/>
    </xf>
    <xf numFmtId="2" fontId="0" fillId="0" borderId="0" xfId="10" applyNumberFormat="1" applyFont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10" applyNumberFormat="1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9" fontId="3" fillId="0" borderId="0" xfId="1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left" vertical="center"/>
    </xf>
    <xf numFmtId="0" fontId="14" fillId="13" borderId="25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0" fontId="15" fillId="0" borderId="26" xfId="0" applyFont="1" applyBorder="1" applyAlignment="1">
      <alignment horizontal="left" vertical="top"/>
    </xf>
    <xf numFmtId="1" fontId="3" fillId="0" borderId="9" xfId="9" applyNumberFormat="1" applyFont="1" applyBorder="1" applyAlignment="1">
      <alignment horizontal="right" vertical="center"/>
    </xf>
    <xf numFmtId="166" fontId="3" fillId="0" borderId="0" xfId="0" applyNumberFormat="1" applyFont="1" applyAlignment="1">
      <alignment vertical="center"/>
    </xf>
    <xf numFmtId="2" fontId="3" fillId="6" borderId="9" xfId="1" applyNumberFormat="1" applyFont="1" applyFill="1" applyBorder="1" applyAlignment="1">
      <alignment horizontal="right" vertical="center"/>
    </xf>
    <xf numFmtId="165" fontId="3" fillId="0" borderId="0" xfId="9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165" fontId="3" fillId="0" borderId="28" xfId="9" applyFont="1" applyBorder="1" applyAlignment="1">
      <alignment horizontal="right" vertical="center"/>
    </xf>
    <xf numFmtId="1" fontId="3" fillId="0" borderId="9" xfId="1" applyNumberFormat="1" applyFont="1" applyFill="1" applyBorder="1" applyAlignment="1">
      <alignment horizontal="right" vertical="center"/>
    </xf>
    <xf numFmtId="165" fontId="3" fillId="0" borderId="9" xfId="9" applyFont="1" applyFill="1" applyBorder="1" applyAlignment="1">
      <alignment horizontal="right" vertical="center"/>
    </xf>
    <xf numFmtId="10" fontId="3" fillId="0" borderId="9" xfId="1" applyNumberFormat="1" applyFont="1" applyFill="1" applyBorder="1" applyAlignment="1">
      <alignment horizontal="right" vertical="center"/>
    </xf>
    <xf numFmtId="0" fontId="6" fillId="4" borderId="1" xfId="0" applyFont="1" applyFill="1" applyBorder="1" applyAlignment="1">
      <alignment vertical="center"/>
    </xf>
    <xf numFmtId="0" fontId="0" fillId="14" borderId="0" xfId="0" applyFill="1"/>
    <xf numFmtId="9" fontId="0" fillId="14" borderId="0" xfId="1" applyFont="1" applyFill="1"/>
    <xf numFmtId="9" fontId="0" fillId="0" borderId="0" xfId="1" applyFont="1"/>
    <xf numFmtId="0" fontId="2" fillId="0" borderId="0" xfId="0" applyFont="1" applyAlignment="1">
      <alignment vertical="center"/>
    </xf>
    <xf numFmtId="0" fontId="0" fillId="15" borderId="31" xfId="0" applyFill="1" applyBorder="1"/>
    <xf numFmtId="0" fontId="2" fillId="2" borderId="0" xfId="0" applyFont="1" applyFill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164" fontId="15" fillId="0" borderId="0" xfId="0" applyNumberFormat="1" applyFont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0" fontId="0" fillId="0" borderId="31" xfId="0" applyBorder="1"/>
    <xf numFmtId="2" fontId="3" fillId="0" borderId="9" xfId="1" applyNumberFormat="1" applyFont="1" applyFill="1" applyBorder="1" applyAlignment="1">
      <alignment horizontal="right" vertical="center"/>
    </xf>
    <xf numFmtId="10" fontId="3" fillId="0" borderId="9" xfId="9" applyNumberFormat="1" applyFont="1" applyFill="1" applyBorder="1" applyAlignment="1">
      <alignment horizontal="right" vertical="center"/>
    </xf>
    <xf numFmtId="0" fontId="0" fillId="0" borderId="32" xfId="0" applyBorder="1"/>
    <xf numFmtId="165" fontId="3" fillId="0" borderId="9" xfId="1" applyNumberFormat="1" applyFont="1" applyBorder="1" applyAlignment="1">
      <alignment horizontal="right" vertical="center"/>
    </xf>
    <xf numFmtId="165" fontId="3" fillId="5" borderId="9" xfId="1" applyNumberFormat="1" applyFont="1" applyFill="1" applyBorder="1" applyAlignment="1">
      <alignment horizontal="right" vertical="center"/>
    </xf>
    <xf numFmtId="0" fontId="16" fillId="0" borderId="0" xfId="0" applyFont="1"/>
    <xf numFmtId="165" fontId="3" fillId="0" borderId="9" xfId="1" applyNumberFormat="1" applyFont="1" applyFill="1" applyBorder="1" applyAlignment="1">
      <alignment horizontal="right" vertical="center"/>
    </xf>
    <xf numFmtId="0" fontId="18" fillId="0" borderId="0" xfId="0" applyFont="1" applyAlignment="1">
      <alignment shrinkToFit="1"/>
    </xf>
    <xf numFmtId="0" fontId="19" fillId="0" borderId="0" xfId="0" applyFont="1"/>
    <xf numFmtId="9" fontId="19" fillId="0" borderId="0" xfId="0" applyNumberFormat="1" applyFont="1"/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28" xfId="0" applyFont="1" applyFill="1" applyBorder="1" applyAlignment="1">
      <alignment horizontal="left" vertical="center"/>
    </xf>
    <xf numFmtId="0" fontId="2" fillId="3" borderId="30" xfId="0" applyFont="1" applyFill="1" applyBorder="1" applyAlignment="1">
      <alignment horizontal="left" vertical="center"/>
    </xf>
    <xf numFmtId="0" fontId="0" fillId="14" borderId="29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/>
    <xf numFmtId="166" fontId="3" fillId="0" borderId="13" xfId="0" applyNumberFormat="1" applyFont="1" applyBorder="1" applyAlignment="1">
      <alignment horizontal="center" vertical="center"/>
    </xf>
    <xf numFmtId="166" fontId="3" fillId="0" borderId="14" xfId="0" applyNumberFormat="1" applyFont="1" applyBorder="1" applyAlignment="1">
      <alignment horizontal="center" vertical="center"/>
    </xf>
    <xf numFmtId="166" fontId="3" fillId="0" borderId="11" xfId="0" applyNumberFormat="1" applyFont="1" applyBorder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14" fillId="12" borderId="27" xfId="0" applyFont="1" applyFill="1" applyBorder="1" applyAlignment="1">
      <alignment horizontal="center" vertical="center"/>
    </xf>
  </cellXfs>
  <cellStyles count="11">
    <cellStyle name="Comma" xfId="10" builtinId="3"/>
    <cellStyle name="Currency" xfId="9" builtinId="4"/>
    <cellStyle name="Moeda 2" xfId="6" xr:uid="{39C94FB8-ABD7-4992-B151-4C4D26518182}"/>
    <cellStyle name="Moeda 3" xfId="5" xr:uid="{A4278551-29E3-4819-B760-F38B362ED060}"/>
    <cellStyle name="Moeda 4" xfId="7" xr:uid="{3C7C3CE8-2701-4000-BCC8-E7C19AA43826}"/>
    <cellStyle name="Normal" xfId="0" builtinId="0"/>
    <cellStyle name="Normal 2" xfId="2" xr:uid="{F46EB930-A0EC-44F3-8ABC-0BE68C7AA618}"/>
    <cellStyle name="Normal 3" xfId="4" xr:uid="{8490BCFE-BADB-4523-A5BD-50825F66BA1B}"/>
    <cellStyle name="Normal 3 2" xfId="3" xr:uid="{DB4F5EFC-A14A-4FD6-87B4-D1F13F6A6F78}"/>
    <cellStyle name="Per cent" xfId="1" builtinId="5"/>
    <cellStyle name="Vírgula 2" xfId="8" xr:uid="{E032E1E1-449F-4E0A-AE02-7F1C7EF81DFB}"/>
  </cellStyles>
  <dxfs count="20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A1D98F"/>
      <color rgb="FFDDEBE6"/>
      <color rgb="FFFCEAEB"/>
      <color rgb="FFF9DBE0"/>
      <color rgb="FF488F31"/>
      <color rgb="FF8CBCAC"/>
      <color rgb="FFF09FA2"/>
      <color rgb="FFDE425B"/>
      <color rgb="FFD9D9D9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Índice!$A$30:$A$52</c:f>
              <c:strCache>
                <c:ptCount val="23"/>
                <c:pt idx="0">
                  <c:v>Margem Operacional</c:v>
                </c:pt>
                <c:pt idx="1">
                  <c:v>Margem Bruta</c:v>
                </c:pt>
                <c:pt idx="2">
                  <c:v>Margem Líquida</c:v>
                </c:pt>
                <c:pt idx="3">
                  <c:v>Nível de Valor Acrescentado</c:v>
                </c:pt>
                <c:pt idx="4">
                  <c:v>Rentabilidade do Ativo</c:v>
                </c:pt>
                <c:pt idx="5">
                  <c:v>Turnover do Ativo</c:v>
                </c:pt>
                <c:pt idx="6">
                  <c:v>% Rh no Volume de Negócios</c:v>
                </c:pt>
                <c:pt idx="7">
                  <c:v>% FSE no Volume de Negócios</c:v>
                </c:pt>
                <c:pt idx="8">
                  <c:v>% CMVMC / Volume de negócios</c:v>
                </c:pt>
                <c:pt idx="9">
                  <c:v>% Custos no Volume de Negócios</c:v>
                </c:pt>
                <c:pt idx="10">
                  <c:v>Prazo Médio de Pagamentos</c:v>
                </c:pt>
                <c:pt idx="11">
                  <c:v>Prazo Médio de Recebimentos</c:v>
                </c:pt>
                <c:pt idx="12">
                  <c:v>Valor Gerado por RH</c:v>
                </c:pt>
                <c:pt idx="13">
                  <c:v>Taxa de Exportação</c:v>
                </c:pt>
                <c:pt idx="14">
                  <c:v>Liquidez Geral</c:v>
                </c:pt>
                <c:pt idx="15">
                  <c:v>Liquidez Reduzida</c:v>
                </c:pt>
                <c:pt idx="16">
                  <c:v>Liquidez imediata</c:v>
                </c:pt>
                <c:pt idx="17">
                  <c:v>Autonomia Financeira</c:v>
                </c:pt>
                <c:pt idx="18">
                  <c:v>Endividamento</c:v>
                </c:pt>
                <c:pt idx="19">
                  <c:v>Solvabilidade</c:v>
                </c:pt>
                <c:pt idx="20">
                  <c:v>Alavancagem Financeira</c:v>
                </c:pt>
                <c:pt idx="21">
                  <c:v>Rentabilidade do Capital Investido</c:v>
                </c:pt>
                <c:pt idx="22">
                  <c:v>Rentabilidade do Capital Próprio</c:v>
                </c:pt>
              </c:strCache>
            </c:strRef>
          </c:cat>
          <c:val>
            <c:numRef>
              <c:f>Índice!$C$30:$C$52</c:f>
              <c:numCache>
                <c:formatCode>0</c:formatCode>
                <c:ptCount val="23"/>
                <c:pt idx="0">
                  <c:v>235.28878084244144</c:v>
                </c:pt>
                <c:pt idx="1">
                  <c:v>235.28878084244144</c:v>
                </c:pt>
                <c:pt idx="2">
                  <c:v>225.03649260158852</c:v>
                </c:pt>
                <c:pt idx="3">
                  <c:v>0</c:v>
                </c:pt>
                <c:pt idx="4">
                  <c:v>119.60473995883108</c:v>
                </c:pt>
                <c:pt idx="5">
                  <c:v>53.149041995861069</c:v>
                </c:pt>
                <c:pt idx="6">
                  <c:v>465.2582695436534</c:v>
                </c:pt>
                <c:pt idx="7">
                  <c:v>128.85139664625484</c:v>
                </c:pt>
                <c:pt idx="8">
                  <c:v>69.110334931325283</c:v>
                </c:pt>
                <c:pt idx="9">
                  <c:v>92.84484342222737</c:v>
                </c:pt>
                <c:pt idx="10">
                  <c:v>216.25722545304765</c:v>
                </c:pt>
                <c:pt idx="11">
                  <c:v>176.67259931861167</c:v>
                </c:pt>
                <c:pt idx="12">
                  <c:v>31.287429418742583</c:v>
                </c:pt>
                <c:pt idx="13">
                  <c:v>984.92253266366947</c:v>
                </c:pt>
                <c:pt idx="14">
                  <c:v>154.62443533698809</c:v>
                </c:pt>
                <c:pt idx="15">
                  <c:v>131.21022223684668</c:v>
                </c:pt>
                <c:pt idx="16">
                  <c:v>57.468318814592713</c:v>
                </c:pt>
                <c:pt idx="17">
                  <c:v>116.26082125541379</c:v>
                </c:pt>
                <c:pt idx="18">
                  <c:v>83.898153254066514</c:v>
                </c:pt>
                <c:pt idx="19">
                  <c:v>119.19213489380715</c:v>
                </c:pt>
                <c:pt idx="20">
                  <c:v>81.509752179306176</c:v>
                </c:pt>
                <c:pt idx="21">
                  <c:v>109.9712767736923</c:v>
                </c:pt>
                <c:pt idx="22">
                  <c:v>102.87622147109303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D-4DFC-AC27-95EEC2E514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21252656"/>
        <c:axId val="1221248336"/>
      </c:barChart>
      <c:catAx>
        <c:axId val="1221252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248336"/>
        <c:crossesAt val="100"/>
        <c:auto val="1"/>
        <c:lblAlgn val="ctr"/>
        <c:lblOffset val="100"/>
        <c:noMultiLvlLbl val="0"/>
      </c:catAx>
      <c:valAx>
        <c:axId val="122124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2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Margem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Comparação!$F$5:$H$5</c:f>
              <c:numCache>
                <c:formatCode>0.00%</c:formatCode>
                <c:ptCount val="3"/>
                <c:pt idx="0">
                  <c:v>9.4553430696491886E-2</c:v>
                </c:pt>
                <c:pt idx="1">
                  <c:v>5.3908954454453852E-2</c:v>
                </c:pt>
                <c:pt idx="2">
                  <c:v>0.18201777115387138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E-4626-9BDA-772FF9B1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62704"/>
        <c:axId val="94168944"/>
      </c:barChart>
      <c:catAx>
        <c:axId val="941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68944"/>
        <c:crosses val="autoZero"/>
        <c:auto val="1"/>
        <c:lblAlgn val="ctr"/>
        <c:lblOffset val="100"/>
        <c:noMultiLvlLbl val="0"/>
      </c:catAx>
      <c:valAx>
        <c:axId val="9416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62704"/>
        <c:crosses val="autoZero"/>
        <c:crossBetween val="between"/>
      </c:valAx>
      <c:spPr>
        <a:solidFill>
          <a:schemeClr val="accent6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Liquidez</a:t>
            </a:r>
            <a:r>
              <a:rPr lang="pt-PT" sz="1400" baseline="0">
                <a:latin typeface="Segoe UI" panose="020B0502040204020203" pitchFamily="34" charset="0"/>
                <a:cs typeface="Segoe UI" panose="020B0502040204020203" pitchFamily="34" charset="0"/>
              </a:rPr>
              <a:t> Geral</a:t>
            </a:r>
            <a:endParaRPr lang="pt-PT" sz="1400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Comparação!$F$49:$H$49</c:f>
              <c:numCache>
                <c:formatCode>0.00%</c:formatCode>
                <c:ptCount val="3"/>
                <c:pt idx="0">
                  <c:v>3.3108491065906649</c:v>
                </c:pt>
                <c:pt idx="1">
                  <c:v>1.550896543398441</c:v>
                </c:pt>
                <c:pt idx="2">
                  <c:v>2.6558340888656571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5-4C34-A6A5-EA89FC38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7426560"/>
        <c:axId val="35405760"/>
      </c:barChart>
      <c:catAx>
        <c:axId val="13774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05760"/>
        <c:crosses val="autoZero"/>
        <c:auto val="1"/>
        <c:lblAlgn val="ctr"/>
        <c:lblOffset val="100"/>
        <c:noMultiLvlLbl val="0"/>
      </c:catAx>
      <c:valAx>
        <c:axId val="3540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Autonomia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Comparação!$F$59:$H$59</c:f>
              <c:numCache>
                <c:formatCode>0.00%</c:formatCode>
                <c:ptCount val="3"/>
                <c:pt idx="0">
                  <c:v>0.75926150371354073</c:v>
                </c:pt>
                <c:pt idx="1">
                  <c:v>0.56023880032518347</c:v>
                </c:pt>
                <c:pt idx="2">
                  <c:v>0.5784485773339535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2-4DC3-B8C3-2AE963FC8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19744"/>
        <c:axId val="42422144"/>
      </c:barChart>
      <c:catAx>
        <c:axId val="4241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22144"/>
        <c:crosses val="autoZero"/>
        <c:auto val="1"/>
        <c:lblAlgn val="ctr"/>
        <c:lblOffset val="100"/>
        <c:noMultiLvlLbl val="0"/>
      </c:catAx>
      <c:valAx>
        <c:axId val="4242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Liquidez Reduzida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Comparação!$F$52:$H$52</c:f>
              <c:numCache>
                <c:formatCode>0.00%</c:formatCode>
                <c:ptCount val="3"/>
                <c:pt idx="0">
                  <c:v>2.9256799146473753</c:v>
                </c:pt>
                <c:pt idx="1">
                  <c:v>1.3400343112494026</c:v>
                </c:pt>
                <c:pt idx="2">
                  <c:v>1.6745807490337179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F-45EA-B734-28BF21C4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1952"/>
        <c:axId val="90392912"/>
      </c:barChart>
      <c:catAx>
        <c:axId val="9039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2912"/>
        <c:crosses val="autoZero"/>
        <c:auto val="1"/>
        <c:lblAlgn val="ctr"/>
        <c:lblOffset val="100"/>
        <c:noMultiLvlLbl val="0"/>
      </c:catAx>
      <c:valAx>
        <c:axId val="9039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Alavancagem</a:t>
            </a:r>
            <a:r>
              <a:rPr lang="pt-PT" baseline="0">
                <a:latin typeface="Segoe UI" panose="020B0502040204020203" pitchFamily="34" charset="0"/>
                <a:cs typeface="Segoe UI" panose="020B0502040204020203" pitchFamily="34" charset="0"/>
              </a:rPr>
              <a:t> Financeira</a:t>
            </a:r>
            <a:endParaRPr lang="pt-PT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Comparação!$F$68:$H$68</c:f>
              <c:numCache>
                <c:formatCode>0.00%</c:formatCode>
                <c:ptCount val="3"/>
                <c:pt idx="0">
                  <c:v>5.6609746169564677E-2</c:v>
                </c:pt>
                <c:pt idx="1">
                  <c:v>0.18381541881348662</c:v>
                </c:pt>
                <c:pt idx="2">
                  <c:v>0.31224423229879961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8-4CC9-BE52-9C0A6FC68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3648"/>
        <c:axId val="20084608"/>
      </c:barChart>
      <c:catAx>
        <c:axId val="2008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4608"/>
        <c:crosses val="autoZero"/>
        <c:auto val="1"/>
        <c:lblAlgn val="ctr"/>
        <c:lblOffset val="100"/>
        <c:noMultiLvlLbl val="0"/>
      </c:catAx>
      <c:valAx>
        <c:axId val="200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Rentabilidade do Capital</a:t>
            </a:r>
            <a:r>
              <a:rPr lang="pt-PT" baseline="0">
                <a:latin typeface="Segoe UI" panose="020B0502040204020203" pitchFamily="34" charset="0"/>
                <a:cs typeface="Segoe UI" panose="020B0502040204020203" pitchFamily="34" charset="0"/>
              </a:rPr>
              <a:t> Próprio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Comparação!$F$75:$H$75</c:f>
              <c:numCache>
                <c:formatCode>0.00%</c:formatCode>
                <c:ptCount val="3"/>
                <c:pt idx="0">
                  <c:v>8.9216359825743677E-2</c:v>
                </c:pt>
                <c:pt idx="1">
                  <c:v>2.3236841706566425E-2</c:v>
                </c:pt>
                <c:pt idx="2">
                  <c:v>0.14800246248309576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A-414F-AB9F-196C67BC4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0512"/>
        <c:axId val="90390992"/>
      </c:barChart>
      <c:catAx>
        <c:axId val="9039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0992"/>
        <c:crosses val="autoZero"/>
        <c:auto val="1"/>
        <c:lblAlgn val="ctr"/>
        <c:lblOffset val="100"/>
        <c:noMultiLvlLbl val="0"/>
      </c:catAx>
      <c:valAx>
        <c:axId val="9039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9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rentabilidade'!$C$94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rentabilidade'!$D$94:$H$94</c:f>
              <c:numCache>
                <c:formatCode>0.00</c:formatCode>
                <c:ptCount val="5"/>
                <c:pt idx="0">
                  <c:v>8.4831708091884721</c:v>
                </c:pt>
                <c:pt idx="1">
                  <c:v>10.916296336326162</c:v>
                </c:pt>
                <c:pt idx="2">
                  <c:v>9.4553430696491887</c:v>
                </c:pt>
                <c:pt idx="3">
                  <c:v>5.390895445445385</c:v>
                </c:pt>
                <c:pt idx="4">
                  <c:v>18.201777115387138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E-4434-A88E-DEAF04C4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rentabilidade'!$C$92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rentabilidade'!$D$92:$H$92</c:f>
              <c:numCache>
                <c:formatCode>General</c:formatCode>
                <c:ptCount val="5"/>
                <c:pt idx="0">
                  <c:v>0</c:v>
                </c:pt>
                <c:pt idx="1">
                  <c:v>7.98</c:v>
                </c:pt>
                <c:pt idx="2">
                  <c:v>7.92</c:v>
                </c:pt>
                <c:pt idx="3">
                  <c:v>3.85</c:v>
                </c:pt>
                <c:pt idx="4">
                  <c:v>9.4700000000000006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FE-4434-A88E-DEAF04C40545}"/>
            </c:ext>
          </c:extLst>
        </c:ser>
        <c:ser>
          <c:idx val="1"/>
          <c:order val="1"/>
          <c:tx>
            <c:strRef>
              <c:f>'Backend dashboard rentabilidade'!$C$93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rentabilidade'!$D$93:$H$93</c:f>
              <c:numCache>
                <c:formatCode>General</c:formatCode>
                <c:ptCount val="5"/>
                <c:pt idx="0">
                  <c:v>0</c:v>
                </c:pt>
                <c:pt idx="1">
                  <c:v>7.92</c:v>
                </c:pt>
                <c:pt idx="2" formatCode="0.00">
                  <c:v>4.7300000000000004</c:v>
                </c:pt>
                <c:pt idx="3">
                  <c:v>5.53</c:v>
                </c:pt>
                <c:pt idx="4">
                  <c:v>7.74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FE-4434-A88E-DEAF04C4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rentabilidade'!$C$85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rentabilidade'!$D$85:$H$85</c:f>
              <c:numCache>
                <c:formatCode>0.00</c:formatCode>
                <c:ptCount val="5"/>
                <c:pt idx="0">
                  <c:v>4.465137710860871</c:v>
                </c:pt>
                <c:pt idx="1">
                  <c:v>7.0914748862189416</c:v>
                </c:pt>
                <c:pt idx="2">
                  <c:v>6.8964427259887051</c:v>
                </c:pt>
                <c:pt idx="3">
                  <c:v>2.0072413721197715</c:v>
                </c:pt>
                <c:pt idx="4">
                  <c:v>9.9366762966935198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8-42DD-A813-B3630103A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rentabilidade'!$C$83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rentabilidade'!$D$83:$H$83</c:f>
              <c:numCache>
                <c:formatCode>General</c:formatCode>
                <c:ptCount val="5"/>
                <c:pt idx="0">
                  <c:v>0</c:v>
                </c:pt>
                <c:pt idx="1">
                  <c:v>3.14</c:v>
                </c:pt>
                <c:pt idx="2">
                  <c:v>3.14</c:v>
                </c:pt>
                <c:pt idx="3">
                  <c:v>-0.88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D8-42DD-A813-B3630103AAA1}"/>
            </c:ext>
          </c:extLst>
        </c:ser>
        <c:ser>
          <c:idx val="1"/>
          <c:order val="1"/>
          <c:tx>
            <c:strRef>
              <c:f>'Backend dashboard rentabilidade'!$C$84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rentabilidade'!$D$84:$H$84</c:f>
              <c:numCache>
                <c:formatCode>General</c:formatCode>
                <c:ptCount val="5"/>
                <c:pt idx="0">
                  <c:v>0</c:v>
                </c:pt>
                <c:pt idx="1">
                  <c:v>3.97</c:v>
                </c:pt>
                <c:pt idx="2" formatCode="0.00">
                  <c:v>0.75</c:v>
                </c:pt>
                <c:pt idx="3">
                  <c:v>1.05</c:v>
                </c:pt>
                <c:pt idx="4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D8-42DD-A813-B3630103A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rentabilidade'!$C$103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rentabilidade'!$D$103:$H$103</c:f>
              <c:numCache>
                <c:formatCode>0.00</c:formatCode>
                <c:ptCount val="5"/>
                <c:pt idx="0">
                  <c:v>4.6946986038589014</c:v>
                </c:pt>
                <c:pt idx="1">
                  <c:v>6.6916432358693365</c:v>
                </c:pt>
                <c:pt idx="2">
                  <c:v>6.7738547517142464</c:v>
                </c:pt>
                <c:pt idx="3">
                  <c:v>1.3018180321032964</c:v>
                </c:pt>
                <c:pt idx="4">
                  <c:v>8.5611813865268562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3-4D6E-8428-A9505D55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rentabilidade'!$C$101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rentabilidade'!$D$101:$H$101</c:f>
              <c:numCache>
                <c:formatCode>General</c:formatCode>
                <c:ptCount val="5"/>
                <c:pt idx="0">
                  <c:v>0</c:v>
                </c:pt>
                <c:pt idx="1">
                  <c:v>10.4</c:v>
                </c:pt>
                <c:pt idx="2">
                  <c:v>8.07</c:v>
                </c:pt>
                <c:pt idx="3">
                  <c:v>3.69</c:v>
                </c:pt>
                <c:pt idx="4">
                  <c:v>12.41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3-4D6E-8428-A9505D55D7C8}"/>
            </c:ext>
          </c:extLst>
        </c:ser>
        <c:ser>
          <c:idx val="1"/>
          <c:order val="1"/>
          <c:tx>
            <c:strRef>
              <c:f>'Backend dashboard rentabilidade'!$C$102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rentabilidade'!$D$102:$H$102</c:f>
              <c:numCache>
                <c:formatCode>General</c:formatCode>
                <c:ptCount val="5"/>
                <c:pt idx="0">
                  <c:v>0</c:v>
                </c:pt>
                <c:pt idx="1">
                  <c:v>10.08</c:v>
                </c:pt>
                <c:pt idx="2" formatCode="0.00">
                  <c:v>4.99</c:v>
                </c:pt>
                <c:pt idx="3">
                  <c:v>5.18</c:v>
                </c:pt>
                <c:pt idx="4">
                  <c:v>12.54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13-4D6E-8428-A9505D55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rentabilidade'!$AN$42:$AR$42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569-97D4-77ED9E28A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29232"/>
        <c:axId val="182950235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rentabilidade'!$AN$40:$AR$40</c:f>
              <c:numCache>
                <c:formatCode>0.00%</c:formatCode>
                <c:ptCount val="5"/>
                <c:pt idx="0">
                  <c:v>0</c:v>
                </c:pt>
                <c:pt idx="1">
                  <c:v>0.26455133387227164</c:v>
                </c:pt>
                <c:pt idx="2">
                  <c:v>0.29572156949678563</c:v>
                </c:pt>
                <c:pt idx="3">
                  <c:v>0.25987525987525989</c:v>
                </c:pt>
                <c:pt idx="4">
                  <c:v>0.27426026089723193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FC-4569-97D4-77ED9E28A21D}"/>
            </c:ext>
          </c:extLst>
        </c:ser>
        <c:ser>
          <c:idx val="1"/>
          <c:order val="1"/>
          <c:tx>
            <c:strRef>
              <c:f>'Backend dashboard rentabilidade'!$AM$41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rentabilidade'!$AN$41:$AR$41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FC-4569-97D4-77ED9E28A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29232"/>
        <c:axId val="1829502352"/>
      </c:lineChart>
      <c:catAx>
        <c:axId val="182952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02352"/>
        <c:crosses val="autoZero"/>
        <c:auto val="1"/>
        <c:lblAlgn val="ctr"/>
        <c:lblOffset val="100"/>
        <c:noMultiLvlLbl val="0"/>
      </c:catAx>
      <c:valAx>
        <c:axId val="18295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rentabilidade'!$AN$49:$AR$49</c:f>
              <c:numCache>
                <c:formatCode>0.00%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7-4D27-BC57-8AC729545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30672"/>
        <c:axId val="182953019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rentabilidade'!$AN$47:$AR$47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F7-4D27-BC57-8AC729545404}"/>
            </c:ext>
          </c:extLst>
        </c:ser>
        <c:ser>
          <c:idx val="1"/>
          <c:order val="1"/>
          <c:tx>
            <c:strRef>
              <c:f>'Backend dashboard rentabilidade'!$AM$48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rentabilidade'!$AN$48:$AR$48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F7-4D27-BC57-8AC729545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30672"/>
        <c:axId val="1829530192"/>
      </c:lineChart>
      <c:catAx>
        <c:axId val="182953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192"/>
        <c:crosses val="autoZero"/>
        <c:auto val="1"/>
        <c:lblAlgn val="ctr"/>
        <c:lblOffset val="100"/>
        <c:noMultiLvlLbl val="0"/>
      </c:catAx>
      <c:valAx>
        <c:axId val="18295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  <a:endParaRPr lang="pt-PT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F3-49AE-8AF3-99B3F399E612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F3-49AE-8AF3-99B3F399E612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4F3-49AE-8AF3-99B3F399E612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4F3-49AE-8AF3-99B3F399E61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4F3-49AE-8AF3-99B3F399E61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B4F3-49AE-8AF3-99B3F399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4F3-49AE-8AF3-99B3F399E61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4F3-49AE-8AF3-99B3F399E612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4F3-49AE-8AF3-99B3F399E612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4F3-49AE-8AF3-99B3F399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B8-4639-8C1D-C8731A484151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B8-4639-8C1D-C8731A484151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2B8-4639-8C1D-C8731A484151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2B8-4639-8C1D-C8731A48415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2B8-4639-8C1D-C8731A48415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F2B8-4639-8C1D-C8731A48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2B8-4639-8C1D-C8731A48415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2B8-4639-8C1D-C8731A48415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2B8-4639-8C1D-C8731A484151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B8-4639-8C1D-C8731A48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pt-PT" sz="100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</a:t>
            </a:r>
            <a:r>
              <a:rPr lang="pt-PT" sz="100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último ano registado</a:t>
            </a:r>
            <a:endParaRPr lang="pt-PT" sz="100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6A-44C9-8CD7-19155BEFB120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6A-44C9-8CD7-19155BEFB120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F6A-44C9-8CD7-19155BEFB120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F6A-44C9-8CD7-19155BEFB120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F6A-44C9-8CD7-19155BEFB120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AF6A-44C9-8CD7-19155BEF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F6A-44C9-8CD7-19155BEFB12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F6A-44C9-8CD7-19155BEFB12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F6A-44C9-8CD7-19155BEFB120}"/>
              </c:ext>
            </c:extLst>
          </c:dPt>
          <c:val>
            <c:numRef>
              <c:f>'Backend dashboard rentabilidade'!$J$91:$J$93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F6A-44C9-8CD7-19155BEF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36-4618-B88A-5A51825766E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36-4618-B88A-5A51825766E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36-4618-B88A-5A51825766E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36-4618-B88A-5A51825766E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236-4618-B88A-5A51825766E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B236-4618-B88A-5A518257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236-4618-B88A-5A51825766E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236-4618-B88A-5A51825766E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236-4618-B88A-5A51825766E2}"/>
              </c:ext>
            </c:extLst>
          </c:dPt>
          <c:val>
            <c:numRef>
              <c:f>'Backend dashboard rentabilidade'!$J$82:$J$84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36-4618-B88A-5A518257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11-4EFD-921F-0038B232A8BC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11-4EFD-921F-0038B232A8BC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11-4EFD-921F-0038B232A8BC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11-4EFD-921F-0038B232A8B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11-4EFD-921F-0038B232A8BC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C211-4EFD-921F-0038B232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211-4EFD-921F-0038B232A8B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211-4EFD-921F-0038B232A8B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211-4EFD-921F-0038B232A8BC}"/>
              </c:ext>
            </c:extLst>
          </c:dPt>
          <c:val>
            <c:numRef>
              <c:f>'Backend dashboard rentabilidade'!$J$100:$J$102</c:f>
              <c:numCache>
                <c:formatCode>General</c:formatCode>
                <c:ptCount val="3"/>
                <c:pt idx="0">
                  <c:v>0.375</c:v>
                </c:pt>
                <c:pt idx="1">
                  <c:v>0.01</c:v>
                </c:pt>
                <c:pt idx="2" formatCode="0.00%">
                  <c:v>1.615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11-4EFD-921F-0038B232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/>
          </c:spPr>
          <c:dPt>
            <c:idx val="0"/>
            <c:bubble3D val="0"/>
            <c:spPr>
              <a:solidFill>
                <a:srgbClr val="DE425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53-4598-96CF-CF9EF3E6719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53-4598-96CF-CF9EF3E6719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53-4598-96CF-CF9EF3E6719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353-4598-96CF-CF9EF3E67192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353-4598-96CF-CF9EF3E6719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3353-4598-96CF-CF9EF3E6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solidFill>
                <a:schemeClr val="tx1"/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3353-4598-96CF-CF9EF3E671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3353-4598-96CF-CF9EF3E67192}"/>
              </c:ext>
            </c:extLst>
          </c:dPt>
          <c:dPt>
            <c:idx val="2"/>
            <c:bubble3D val="0"/>
            <c:explosion val="4"/>
            <c:spPr>
              <a:noFill/>
              <a:ln w="317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353-4598-96CF-CF9EF3E67192}"/>
              </c:ext>
            </c:extLst>
          </c:dPt>
          <c:val>
            <c:numRef>
              <c:f>'Backend dashboard rentabilidade'!$D$16:$D$18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353-4598-96CF-CF9EF3E6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rentabilidade'!$C$5</c:f>
          <c:strCache>
            <c:ptCount val="1"/>
            <c:pt idx="0">
              <c:v>Rentabilidade do Capital Próprio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rentabilidade'!$D$11:$H$11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EC-47D3-B363-0A478662C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rentabilidade'!$D$5:$H$5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rentabilidade'!$D$9:$H$9</c:f>
              <c:numCache>
                <c:formatCode>General</c:formatCode>
                <c:ptCount val="5"/>
                <c:pt idx="0">
                  <c:v>0</c:v>
                </c:pt>
                <c:pt idx="1">
                  <c:v>8.69</c:v>
                </c:pt>
                <c:pt idx="2">
                  <c:v>7.58</c:v>
                </c:pt>
                <c:pt idx="3">
                  <c:v>-1.72</c:v>
                </c:pt>
                <c:pt idx="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EC-47D3-B363-0A478662C290}"/>
            </c:ext>
          </c:extLst>
        </c:ser>
        <c:ser>
          <c:idx val="1"/>
          <c:order val="1"/>
          <c:tx>
            <c:strRef>
              <c:f>'Backend dashboard rentabilidade'!$C$10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rentabilidade'!$D$5:$H$5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rentabilidade'!$D$10:$H$10</c:f>
              <c:numCache>
                <c:formatCode>General</c:formatCode>
                <c:ptCount val="5"/>
                <c:pt idx="0">
                  <c:v>0</c:v>
                </c:pt>
                <c:pt idx="1">
                  <c:v>11.1</c:v>
                </c:pt>
                <c:pt idx="2" formatCode="0.00">
                  <c:v>1.74</c:v>
                </c:pt>
                <c:pt idx="3">
                  <c:v>2.02</c:v>
                </c:pt>
                <c:pt idx="4">
                  <c:v>14.39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EC-47D3-B363-0A478662C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5D-4993-9337-909F1CF994B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5D-4993-9337-909F1CF994B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5D-4993-9337-909F1CF994B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5D-4993-9337-909F1CF994B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15D-4993-9337-909F1CF994B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615D-4993-9337-909F1CF99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DA1-4E7C-96C3-BDC5089B968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15D-4993-9337-909F1CF994B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DA1-4E7C-96C3-BDC5089B968B}"/>
              </c:ext>
            </c:extLst>
          </c:dPt>
          <c:val>
            <c:numRef>
              <c:f>'Backend dashboard rentabilidade'!$J$46:$J$48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15D-4993-9337-909F1CF99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41-41AF-83FA-ADCEB9D36C40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41-41AF-83FA-ADCEB9D36C40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41-41AF-83FA-ADCEB9D36C40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41-41AF-83FA-ADCEB9D36C40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41-41AF-83FA-ADCEB9D36C40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7141-41AF-83FA-ADCEB9D36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979-4787-96E8-482A5E2614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141-41AF-83FA-ADCEB9D36C4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979-4787-96E8-482A5E26142F}"/>
              </c:ext>
            </c:extLst>
          </c:dPt>
          <c:val>
            <c:numRef>
              <c:f>'Backend dashboard rentabilidade'!$J$55:$J$57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141-41AF-83FA-ADCEB9D36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72-47D9-BEBC-D1A4719416A3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72-47D9-BEBC-D1A4719416A3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72-47D9-BEBC-D1A4719416A3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72-47D9-BEBC-D1A4719416A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72-47D9-BEBC-D1A4719416A3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772-47D9-BEBC-D1A47194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772-47D9-BEBC-D1A4719416A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 cmpd="sng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772-47D9-BEBC-D1A4719416A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772-47D9-BEBC-D1A4719416A3}"/>
              </c:ext>
            </c:extLst>
          </c:dPt>
          <c:val>
            <c:numRef>
              <c:f>'Backend dashboard rentabilidade'!$J$55:$J$57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772-47D9-BEBC-D1A47194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7C-4D4C-AF99-11D863981AC1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7C-4D4C-AF99-11D863981AC1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7C-4D4C-AF99-11D863981AC1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7C-4D4C-AF99-11D863981AC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7C-4D4C-AF99-11D863981AC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77C-4D4C-AF99-11D863981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77C-4D4C-AF99-11D863981AC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77C-4D4C-AF99-11D863981AC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77C-4D4C-AF99-11D863981AC1}"/>
              </c:ext>
            </c:extLst>
          </c:dPt>
          <c:val>
            <c:numRef>
              <c:f>'Backend dashboard rentabilidade'!$J$73:$J$75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77C-4D4C-AF99-11D863981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1F-4E0C-9204-5C849EF17BFF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1F-4E0C-9204-5C849EF17BFF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1F-4E0C-9204-5C849EF17BFF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A1F-4E0C-9204-5C849EF17BF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A1F-4E0C-9204-5C849EF17BFF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CA1F-4E0C-9204-5C849EF17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A1F-4E0C-9204-5C849EF17BFF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A1F-4E0C-9204-5C849EF17BF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A1F-4E0C-9204-5C849EF17BFF}"/>
              </c:ext>
            </c:extLst>
          </c:dPt>
          <c:val>
            <c:numRef>
              <c:f>'Backend dashboard rentabilidade'!$J$82:$J$84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A1F-4E0C-9204-5C849EF17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6B-4922-ADE2-FEC88759CA7A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6B-4922-ADE2-FEC88759CA7A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6B-4922-ADE2-FEC88759CA7A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6B-4922-ADE2-FEC88759CA7A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86B-4922-ADE2-FEC88759CA7A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F86B-4922-ADE2-FEC88759C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86B-4922-ADE2-FEC88759CA7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86B-4922-ADE2-FEC88759CA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86B-4922-ADE2-FEC88759CA7A}"/>
              </c:ext>
            </c:extLst>
          </c:dPt>
          <c:val>
            <c:numRef>
              <c:f>'Backend dashboard rentabilidade'!$J$91:$J$93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6B-4922-ADE2-FEC88759C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8B-41F3-9D61-A9E49A576BE9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8B-41F3-9D61-A9E49A576BE9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8B-41F3-9D61-A9E49A576BE9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8B-41F3-9D61-A9E49A576BE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8B-41F3-9D61-A9E49A576BE9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408B-41F3-9D61-A9E49A576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08B-41F3-9D61-A9E49A576BE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08B-41F3-9D61-A9E49A576B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08B-41F3-9D61-A9E49A576BE9}"/>
              </c:ext>
            </c:extLst>
          </c:dPt>
          <c:val>
            <c:numRef>
              <c:f>'Backend dashboard rentabilidade'!$J$100:$J$102</c:f>
              <c:numCache>
                <c:formatCode>General</c:formatCode>
                <c:ptCount val="3"/>
                <c:pt idx="0">
                  <c:v>0.375</c:v>
                </c:pt>
                <c:pt idx="1">
                  <c:v>0.01</c:v>
                </c:pt>
                <c:pt idx="2" formatCode="0.00%">
                  <c:v>1.615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8B-41F3-9D61-A9E49A576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61-4902-8A70-77188509881F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61-4902-8A70-77188509881F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61-4902-8A70-77188509881F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61-4902-8A70-77188509881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61-4902-8A70-77188509881F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3761-4902-8A70-771885098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explosion val="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761-4902-8A70-77188509881F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761-4902-8A70-77188509881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761-4902-8A70-77188509881F}"/>
              </c:ext>
            </c:extLst>
          </c:dPt>
          <c:val>
            <c:numRef>
              <c:f>'Backend dashboard rentabilidade'!$J$109:$J$111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761-4902-8A70-771885098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rentabilidade'!$C$43</c:f>
          <c:strCache>
            <c:ptCount val="1"/>
            <c:pt idx="0">
              <c:v>Alavancagem Financeira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rentabilidade'!$D$49:$H$49</c:f>
              <c:numCache>
                <c:formatCode>0.00</c:formatCode>
                <c:ptCount val="5"/>
                <c:pt idx="0">
                  <c:v>11.533289875039001</c:v>
                </c:pt>
                <c:pt idx="1">
                  <c:v>9.9316329838738611</c:v>
                </c:pt>
                <c:pt idx="2">
                  <c:v>5.6609746169564676</c:v>
                </c:pt>
                <c:pt idx="3">
                  <c:v>18.38154188134866</c:v>
                </c:pt>
                <c:pt idx="4">
                  <c:v>31.22442322987996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B-4B0A-AC43-58EDB8F0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rentabilidade'!$D$43:$H$43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rentabilidade'!$D$47:$H$47</c:f>
              <c:numCache>
                <c:formatCode>General</c:formatCode>
                <c:ptCount val="5"/>
                <c:pt idx="0">
                  <c:v>0</c:v>
                </c:pt>
                <c:pt idx="1">
                  <c:v>36.57</c:v>
                </c:pt>
                <c:pt idx="2">
                  <c:v>38.1</c:v>
                </c:pt>
                <c:pt idx="3">
                  <c:v>32.200000000000003</c:v>
                </c:pt>
                <c:pt idx="4">
                  <c:v>32.71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B-4B0A-AC43-58EDB8F01A0E}"/>
            </c:ext>
          </c:extLst>
        </c:ser>
        <c:ser>
          <c:idx val="1"/>
          <c:order val="1"/>
          <c:tx>
            <c:strRef>
              <c:f>'Backend dashboard rentabilidade'!$C$48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rentabilidade'!$D$43:$H$43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rentabilidade'!$D$48:$H$48</c:f>
              <c:numCache>
                <c:formatCode>General</c:formatCode>
                <c:ptCount val="5"/>
                <c:pt idx="0">
                  <c:v>0</c:v>
                </c:pt>
                <c:pt idx="1">
                  <c:v>42.98</c:v>
                </c:pt>
                <c:pt idx="2" formatCode="0.00">
                  <c:v>44.32</c:v>
                </c:pt>
                <c:pt idx="3">
                  <c:v>44</c:v>
                </c:pt>
                <c:pt idx="4">
                  <c:v>38.31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AB-4B0A-AC43-58EDB8F0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rentabilidade'!$C$52</c:f>
          <c:strCache>
            <c:ptCount val="1"/>
            <c:pt idx="0">
              <c:v>Autonomia Financeira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rentabilidade'!$C$58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rentabilidade'!$D$58:$H$58</c:f>
              <c:numCache>
                <c:formatCode>0.00</c:formatCode>
                <c:ptCount val="5"/>
                <c:pt idx="0">
                  <c:v>68.876843843847013</c:v>
                </c:pt>
                <c:pt idx="1">
                  <c:v>73.04188562690149</c:v>
                </c:pt>
                <c:pt idx="2">
                  <c:v>75.926150371354069</c:v>
                </c:pt>
                <c:pt idx="3">
                  <c:v>56.023880032518349</c:v>
                </c:pt>
                <c:pt idx="4">
                  <c:v>57.844857733395351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F-4DD7-A79C-41E7F6D4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rentabilidade'!$C$56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rentabilidade'!$D$52:$H$52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rentabilidade'!$D$56:$H$56</c:f>
              <c:numCache>
                <c:formatCode>General</c:formatCode>
                <c:ptCount val="5"/>
                <c:pt idx="0">
                  <c:v>0</c:v>
                </c:pt>
                <c:pt idx="1">
                  <c:v>48.13</c:v>
                </c:pt>
                <c:pt idx="2">
                  <c:v>43.44</c:v>
                </c:pt>
                <c:pt idx="3">
                  <c:v>50.36</c:v>
                </c:pt>
                <c:pt idx="4">
                  <c:v>48.6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EF-4DD7-A79C-41E7F6D479E3}"/>
            </c:ext>
          </c:extLst>
        </c:ser>
        <c:ser>
          <c:idx val="1"/>
          <c:order val="1"/>
          <c:tx>
            <c:strRef>
              <c:f>'Backend dashboard rentabilidade'!$C$57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rentabilidade'!$D$52:$H$52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rentabilidade'!$D$57:$H$57</c:f>
              <c:numCache>
                <c:formatCode>General</c:formatCode>
                <c:ptCount val="5"/>
                <c:pt idx="0">
                  <c:v>0</c:v>
                </c:pt>
                <c:pt idx="1">
                  <c:v>47.91</c:v>
                </c:pt>
                <c:pt idx="2" formatCode="0.00">
                  <c:v>47.18</c:v>
                </c:pt>
                <c:pt idx="3">
                  <c:v>47.62</c:v>
                </c:pt>
                <c:pt idx="4">
                  <c:v>49.76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EF-4DD7-A79C-41E7F6D4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rentabilidade'!$C$61</c:f>
          <c:strCache>
            <c:ptCount val="1"/>
            <c:pt idx="0">
              <c:v>Liquidez Geral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rentabilidade'!$C$67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rentabilidade'!$D$67:$H$67</c:f>
              <c:numCache>
                <c:formatCode>0.00</c:formatCode>
                <c:ptCount val="5"/>
                <c:pt idx="0">
                  <c:v>332.79040817841121</c:v>
                </c:pt>
                <c:pt idx="1">
                  <c:v>369.21379687761527</c:v>
                </c:pt>
                <c:pt idx="2">
                  <c:v>331.08491065906651</c:v>
                </c:pt>
                <c:pt idx="3">
                  <c:v>155.08965433984409</c:v>
                </c:pt>
                <c:pt idx="4">
                  <c:v>265.58340888656573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41-4016-BA83-248E4E0A6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rentabilidade'!$C$65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rentabilidade'!$D$61:$H$61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rentabilidade'!$D$65:$H$65</c:f>
              <c:numCache>
                <c:formatCode>General</c:formatCode>
                <c:ptCount val="5"/>
                <c:pt idx="0">
                  <c:v>0</c:v>
                </c:pt>
                <c:pt idx="1">
                  <c:v>164.41</c:v>
                </c:pt>
                <c:pt idx="2">
                  <c:v>146.44999999999999</c:v>
                </c:pt>
                <c:pt idx="3">
                  <c:v>168.77</c:v>
                </c:pt>
                <c:pt idx="4">
                  <c:v>158.6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1-4016-BA83-248E4E0A61DC}"/>
            </c:ext>
          </c:extLst>
        </c:ser>
        <c:ser>
          <c:idx val="1"/>
          <c:order val="1"/>
          <c:tx>
            <c:strRef>
              <c:f>'Backend dashboard rentabilidade'!$C$66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rentabilidade'!$D$61:$H$61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rentabilidade'!$D$66:$H$66</c:f>
              <c:numCache>
                <c:formatCode>General</c:formatCode>
                <c:ptCount val="5"/>
                <c:pt idx="0">
                  <c:v>0</c:v>
                </c:pt>
                <c:pt idx="1">
                  <c:v>120.48</c:v>
                </c:pt>
                <c:pt idx="2" formatCode="0.00">
                  <c:v>170.58</c:v>
                </c:pt>
                <c:pt idx="3">
                  <c:v>174.29</c:v>
                </c:pt>
                <c:pt idx="4">
                  <c:v>171.7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41-4016-BA83-248E4E0A6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rentabilidade'!$C$70</c:f>
          <c:strCache>
            <c:ptCount val="1"/>
            <c:pt idx="0">
              <c:v>Liquidez Reduzida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rentabilidade'!$C$76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rentabilidade'!$D$76:$H$76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D-4B2D-95BE-B4592B883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rentabilidade'!$C$74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rentabilidade'!$D$70:$H$70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rentabilidade'!$D$74:$H$74</c:f>
              <c:numCache>
                <c:formatCode>General</c:formatCode>
                <c:ptCount val="5"/>
                <c:pt idx="0">
                  <c:v>0</c:v>
                </c:pt>
                <c:pt idx="1">
                  <c:v>8.69</c:v>
                </c:pt>
                <c:pt idx="2">
                  <c:v>7.58</c:v>
                </c:pt>
                <c:pt idx="3">
                  <c:v>-1.72</c:v>
                </c:pt>
                <c:pt idx="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8D-4B2D-95BE-B4592B8831BB}"/>
            </c:ext>
          </c:extLst>
        </c:ser>
        <c:ser>
          <c:idx val="1"/>
          <c:order val="1"/>
          <c:tx>
            <c:strRef>
              <c:f>'Backend dashboard rentabilidade'!$C$75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rentabilidade'!$D$70:$H$70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rentabilidade'!$D$75:$H$75</c:f>
              <c:numCache>
                <c:formatCode>General</c:formatCode>
                <c:ptCount val="5"/>
                <c:pt idx="0">
                  <c:v>0</c:v>
                </c:pt>
                <c:pt idx="1">
                  <c:v>11.1</c:v>
                </c:pt>
                <c:pt idx="2" formatCode="0.00">
                  <c:v>1.74</c:v>
                </c:pt>
                <c:pt idx="3">
                  <c:v>2.02</c:v>
                </c:pt>
                <c:pt idx="4">
                  <c:v>14.39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8D-4B2D-95BE-B4592B883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rentabilidade'!$C$79</c:f>
          <c:strCache>
            <c:ptCount val="1"/>
            <c:pt idx="0">
              <c:v>Margem Líquida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rentabilidade'!$C$85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rentabilidade'!$D$85:$H$85</c:f>
              <c:numCache>
                <c:formatCode>0.00</c:formatCode>
                <c:ptCount val="5"/>
                <c:pt idx="0">
                  <c:v>4.465137710860871</c:v>
                </c:pt>
                <c:pt idx="1">
                  <c:v>7.0914748862189416</c:v>
                </c:pt>
                <c:pt idx="2">
                  <c:v>6.8964427259887051</c:v>
                </c:pt>
                <c:pt idx="3">
                  <c:v>2.0072413721197715</c:v>
                </c:pt>
                <c:pt idx="4">
                  <c:v>9.9366762966935198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7-4575-A0B3-85A03D008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rentabilidade'!$C$83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rentabilidade'!$D$83:$H$83</c:f>
              <c:numCache>
                <c:formatCode>General</c:formatCode>
                <c:ptCount val="5"/>
                <c:pt idx="0">
                  <c:v>0</c:v>
                </c:pt>
                <c:pt idx="1">
                  <c:v>3.14</c:v>
                </c:pt>
                <c:pt idx="2">
                  <c:v>3.14</c:v>
                </c:pt>
                <c:pt idx="3">
                  <c:v>-0.88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B7-4575-A0B3-85A03D008CEF}"/>
            </c:ext>
          </c:extLst>
        </c:ser>
        <c:ser>
          <c:idx val="1"/>
          <c:order val="1"/>
          <c:tx>
            <c:strRef>
              <c:f>'Backend dashboard rentabilidade'!$C$84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rentabilidade'!$D$84:$H$84</c:f>
              <c:numCache>
                <c:formatCode>General</c:formatCode>
                <c:ptCount val="5"/>
                <c:pt idx="0">
                  <c:v>0</c:v>
                </c:pt>
                <c:pt idx="1">
                  <c:v>3.97</c:v>
                </c:pt>
                <c:pt idx="2" formatCode="0.00">
                  <c:v>0.75</c:v>
                </c:pt>
                <c:pt idx="3">
                  <c:v>1.05</c:v>
                </c:pt>
                <c:pt idx="4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B7-4575-A0B3-85A03D008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rentabilidade'!$C$88</c:f>
          <c:strCache>
            <c:ptCount val="1"/>
            <c:pt idx="0">
              <c:v>Margem Operacional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rentabilidade'!$C$94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rentabilidade'!$D$94:$H$94</c:f>
              <c:numCache>
                <c:formatCode>0.00</c:formatCode>
                <c:ptCount val="5"/>
                <c:pt idx="0">
                  <c:v>8.4831708091884721</c:v>
                </c:pt>
                <c:pt idx="1">
                  <c:v>10.916296336326162</c:v>
                </c:pt>
                <c:pt idx="2">
                  <c:v>9.4553430696491887</c:v>
                </c:pt>
                <c:pt idx="3">
                  <c:v>5.390895445445385</c:v>
                </c:pt>
                <c:pt idx="4">
                  <c:v>18.201777115387138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0-411B-B7EB-9FC60F3A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rentabilidade'!$C$92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rentabilidade'!$D$92:$H$92</c:f>
              <c:numCache>
                <c:formatCode>General</c:formatCode>
                <c:ptCount val="5"/>
                <c:pt idx="0">
                  <c:v>0</c:v>
                </c:pt>
                <c:pt idx="1">
                  <c:v>7.98</c:v>
                </c:pt>
                <c:pt idx="2">
                  <c:v>7.92</c:v>
                </c:pt>
                <c:pt idx="3">
                  <c:v>3.85</c:v>
                </c:pt>
                <c:pt idx="4">
                  <c:v>9.4700000000000006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B0-411B-B7EB-9FC60F3AACDC}"/>
            </c:ext>
          </c:extLst>
        </c:ser>
        <c:ser>
          <c:idx val="1"/>
          <c:order val="1"/>
          <c:tx>
            <c:strRef>
              <c:f>'Backend dashboard rentabilidade'!$C$93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rentabilidade'!$D$93:$H$93</c:f>
              <c:numCache>
                <c:formatCode>General</c:formatCode>
                <c:ptCount val="5"/>
                <c:pt idx="0">
                  <c:v>0</c:v>
                </c:pt>
                <c:pt idx="1">
                  <c:v>7.92</c:v>
                </c:pt>
                <c:pt idx="2" formatCode="0.00">
                  <c:v>4.7300000000000004</c:v>
                </c:pt>
                <c:pt idx="3">
                  <c:v>5.53</c:v>
                </c:pt>
                <c:pt idx="4">
                  <c:v>7.74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0-411B-B7EB-9FC60F3A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rentabilidade'!$C$97</c:f>
          <c:strCache>
            <c:ptCount val="1"/>
            <c:pt idx="0">
              <c:v>Rentabilidade do Ativo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084044715447154"/>
          <c:y val="0.16792098260111274"/>
          <c:w val="0.4334722222222222"/>
          <c:h val="0.75362216708981322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rentabilidade'!$C$103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rentabilidade'!$D$103:$H$103</c:f>
              <c:numCache>
                <c:formatCode>0.00</c:formatCode>
                <c:ptCount val="5"/>
                <c:pt idx="0">
                  <c:v>4.6946986038589014</c:v>
                </c:pt>
                <c:pt idx="1">
                  <c:v>6.6916432358693365</c:v>
                </c:pt>
                <c:pt idx="2">
                  <c:v>6.7738547517142464</c:v>
                </c:pt>
                <c:pt idx="3">
                  <c:v>1.3018180321032964</c:v>
                </c:pt>
                <c:pt idx="4">
                  <c:v>8.5611813865268562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4-4993-94FF-80E849A5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rentabilidade'!$C$101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rentabilidade'!$D$101:$H$101</c:f>
              <c:numCache>
                <c:formatCode>General</c:formatCode>
                <c:ptCount val="5"/>
                <c:pt idx="0">
                  <c:v>0</c:v>
                </c:pt>
                <c:pt idx="1">
                  <c:v>10.4</c:v>
                </c:pt>
                <c:pt idx="2">
                  <c:v>8.07</c:v>
                </c:pt>
                <c:pt idx="3">
                  <c:v>3.69</c:v>
                </c:pt>
                <c:pt idx="4">
                  <c:v>12.41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14-4993-94FF-80E849A53DDD}"/>
            </c:ext>
          </c:extLst>
        </c:ser>
        <c:ser>
          <c:idx val="1"/>
          <c:order val="1"/>
          <c:tx>
            <c:strRef>
              <c:f>'Backend dashboard rentabilidade'!$C$102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rentabilidade'!$D$102:$H$102</c:f>
              <c:numCache>
                <c:formatCode>General</c:formatCode>
                <c:ptCount val="5"/>
                <c:pt idx="0">
                  <c:v>0</c:v>
                </c:pt>
                <c:pt idx="1">
                  <c:v>10.08</c:v>
                </c:pt>
                <c:pt idx="2" formatCode="0.00">
                  <c:v>4.99</c:v>
                </c:pt>
                <c:pt idx="3">
                  <c:v>5.18</c:v>
                </c:pt>
                <c:pt idx="4">
                  <c:v>12.54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14-4993-94FF-80E849A5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rentabilidade'!$C$106</c:f>
          <c:strCache>
            <c:ptCount val="1"/>
            <c:pt idx="0">
              <c:v>Rentabilidade do Capital Próprio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rentabilidade'!$C$112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rentabilidade'!$D$112:$H$112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3-4861-8948-1CEB86B4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rentabilidade'!$C$110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rentabilidade'!$D$106:$H$106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rentabilidade'!$D$110:$H$110</c:f>
              <c:numCache>
                <c:formatCode>General</c:formatCode>
                <c:ptCount val="5"/>
                <c:pt idx="0">
                  <c:v>0</c:v>
                </c:pt>
                <c:pt idx="1">
                  <c:v>8.69</c:v>
                </c:pt>
                <c:pt idx="2">
                  <c:v>7.58</c:v>
                </c:pt>
                <c:pt idx="3">
                  <c:v>-1.72</c:v>
                </c:pt>
                <c:pt idx="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E3-4861-8948-1CEB86B48C0A}"/>
            </c:ext>
          </c:extLst>
        </c:ser>
        <c:ser>
          <c:idx val="1"/>
          <c:order val="1"/>
          <c:tx>
            <c:strRef>
              <c:f>'Backend dashboard rentabilidade'!$C$111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rentabilidade'!$D$106:$H$106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rentabilidade'!$D$111:$H$111</c:f>
              <c:numCache>
                <c:formatCode>General</c:formatCode>
                <c:ptCount val="5"/>
                <c:pt idx="0">
                  <c:v>0</c:v>
                </c:pt>
                <c:pt idx="1">
                  <c:v>11.1</c:v>
                </c:pt>
                <c:pt idx="2" formatCode="0.00">
                  <c:v>1.74</c:v>
                </c:pt>
                <c:pt idx="3">
                  <c:v>2.02</c:v>
                </c:pt>
                <c:pt idx="4">
                  <c:v>14.39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E3-4861-8948-1CEB86B4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Nível de Valor Acrescentado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rentabilidade'!$AN$49:$AR$49</c:f>
              <c:numCache>
                <c:formatCode>0.00%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4B-47A9-8E33-491B8CD71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30672"/>
        <c:axId val="182953019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rentabilidade'!$AN$47:$AR$47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4B-47A9-8E33-491B8CD716C1}"/>
            </c:ext>
          </c:extLst>
        </c:ser>
        <c:ser>
          <c:idx val="1"/>
          <c:order val="1"/>
          <c:tx>
            <c:strRef>
              <c:f>'Backend dashboard rentabilidade'!$AM$48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rentabilidade'!$AN$48:$AR$48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4B-47A9-8E33-491B8CD71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30672"/>
        <c:axId val="1829530192"/>
      </c:lineChart>
      <c:catAx>
        <c:axId val="182953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192"/>
        <c:crosses val="autoZero"/>
        <c:auto val="1"/>
        <c:lblAlgn val="ctr"/>
        <c:lblOffset val="100"/>
        <c:noMultiLvlLbl val="0"/>
      </c:catAx>
      <c:valAx>
        <c:axId val="18295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Margem Bruta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rentabilidade'!$AN$42:$AR$42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9C-4597-A8FA-A55CDA9A8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29232"/>
        <c:axId val="182950235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rentabilidade'!$AN$40:$AR$40</c:f>
              <c:numCache>
                <c:formatCode>0.00%</c:formatCode>
                <c:ptCount val="5"/>
                <c:pt idx="0">
                  <c:v>0</c:v>
                </c:pt>
                <c:pt idx="1">
                  <c:v>0.26455133387227164</c:v>
                </c:pt>
                <c:pt idx="2">
                  <c:v>0.29572156949678563</c:v>
                </c:pt>
                <c:pt idx="3">
                  <c:v>0.25987525987525989</c:v>
                </c:pt>
                <c:pt idx="4">
                  <c:v>0.27426026089723193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C-4597-A8FA-A55CDA9A8F83}"/>
            </c:ext>
          </c:extLst>
        </c:ser>
        <c:ser>
          <c:idx val="1"/>
          <c:order val="1"/>
          <c:tx>
            <c:strRef>
              <c:f>'Backend dashboard rentabilidade'!$AM$41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rentabilidade'!$AN$41:$AR$41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9C-4597-A8FA-A55CDA9A8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29232"/>
        <c:axId val="1829502352"/>
      </c:lineChart>
      <c:catAx>
        <c:axId val="182952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02352"/>
        <c:crosses val="autoZero"/>
        <c:auto val="1"/>
        <c:lblAlgn val="ctr"/>
        <c:lblOffset val="100"/>
        <c:noMultiLvlLbl val="0"/>
      </c:catAx>
      <c:valAx>
        <c:axId val="18295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5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explosion val="3"/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595-48AF-8744-AAED1EC116F1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595-48AF-8744-AAED1EC116F1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595-48AF-8744-AAED1EC116F1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595-48AF-8744-AAED1EC116F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595-48AF-8744-AAED1EC116F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4595-48AF-8744-AAED1EC1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595-48AF-8744-AAED1EC116F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595-48AF-8744-AAED1EC116F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595-48AF-8744-AAED1EC116F1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95-48AF-8744-AAED1EC1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'backend dashboard'!$D$39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dashboard'!$E$39:$I$39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F-470C-8080-44C1EAD605B0}"/>
            </c:ext>
          </c:extLst>
        </c:ser>
        <c:ser>
          <c:idx val="1"/>
          <c:order val="1"/>
          <c:tx>
            <c:strRef>
              <c:f>'backend dashboard'!$D$40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dashboard'!$E$40:$I$40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F-470C-8080-44C1EAD60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0116832"/>
        <c:axId val="1350112992"/>
      </c:barChart>
      <c:catAx>
        <c:axId val="13501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2992"/>
        <c:crosses val="autoZero"/>
        <c:auto val="1"/>
        <c:lblAlgn val="ctr"/>
        <c:lblOffset val="100"/>
        <c:noMultiLvlLbl val="0"/>
      </c:catAx>
      <c:valAx>
        <c:axId val="13501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tx2"/>
                </a:solidFill>
              </a:rPr>
              <a:t>Desempenho agregado</a:t>
            </a:r>
            <a:r>
              <a:rPr lang="pt-PT" baseline="0">
                <a:solidFill>
                  <a:schemeClr val="tx2"/>
                </a:solidFill>
              </a:rPr>
              <a:t> nos anos avaliados</a:t>
            </a:r>
          </a:p>
        </c:rich>
      </c:tx>
      <c:layout>
        <c:manualLayout>
          <c:xMode val="edge"/>
          <c:yMode val="edge"/>
          <c:x val="0.13454657456461741"/>
          <c:y val="0.14590739582485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6-46D0-A179-C5E95B61EAAC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6-46D0-A179-C5E95B61EAAC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6-46D0-A179-C5E95B61EAAC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6-46D0-A179-C5E95B61EAA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E6-46D0-A179-C5E95B61EAAC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65E6-46D0-A179-C5E95B61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5E6-46D0-A179-C5E95B61EAA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0" cmpd="dbl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5E6-46D0-A179-C5E95B61EAA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5E6-46D0-A179-C5E95B61EAAC}"/>
              </c:ext>
            </c:extLst>
          </c:dPt>
          <c:val>
            <c:numRef>
              <c:f>'backend dashboard'!$E$19:$E$21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E6-46D0-A179-C5E95B61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6226076436661362E-2"/>
                  <c:y val="-3.84158804944334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'backend dashboard'!$E$41:$I$41</c:f>
              <c:numCache>
                <c:formatCode>0.00%</c:formatCode>
                <c:ptCount val="5"/>
                <c:pt idx="0">
                  <c:v>0</c:v>
                </c:pt>
                <c:pt idx="1">
                  <c:v>0.18330708669029774</c:v>
                </c:pt>
                <c:pt idx="2">
                  <c:v>0.23046123060412393</c:v>
                </c:pt>
                <c:pt idx="3">
                  <c:v>0.14079807152617713</c:v>
                </c:pt>
                <c:pt idx="4">
                  <c:v>0.24604754859896744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89-41D7-A6F4-B7394A3F6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410687"/>
        <c:axId val="1611395807"/>
      </c:lineChart>
      <c:catAx>
        <c:axId val="16114106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11395807"/>
        <c:crosses val="autoZero"/>
        <c:auto val="1"/>
        <c:lblAlgn val="ctr"/>
        <c:lblOffset val="100"/>
        <c:noMultiLvlLbl val="0"/>
      </c:catAx>
      <c:valAx>
        <c:axId val="161139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4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dashboard'!$E$39:$I$39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17-40C8-B3E1-AC99038EE81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dashboard'!$E$40:$I$40</c:f>
              <c:numCache>
                <c:formatCode>0.00%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17-40C8-B3E1-AC99038EE8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50116832"/>
        <c:axId val="1350112992"/>
      </c:lineChart>
      <c:catAx>
        <c:axId val="13501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2992"/>
        <c:crosses val="autoZero"/>
        <c:auto val="1"/>
        <c:lblAlgn val="ctr"/>
        <c:lblOffset val="100"/>
        <c:noMultiLvlLbl val="0"/>
      </c:catAx>
      <c:valAx>
        <c:axId val="13501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1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/>
          </c:spPr>
          <c:dPt>
            <c:idx val="0"/>
            <c:bubble3D val="0"/>
            <c:spPr>
              <a:solidFill>
                <a:srgbClr val="DE425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2F-4B0D-8316-E1110C13B0F9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2F-4B0D-8316-E1110C13B0F9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2F-4B0D-8316-E1110C13B0F9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2F-4B0D-8316-E1110C13B0F9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2F-4B0D-8316-E1110C13B0F9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B2F-4B0D-8316-E1110C13B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88-4653-9FF7-23E90650313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0" cmpd="dbl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188-4653-9FF7-23E90650313D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188-4653-9FF7-23E90650313D}"/>
              </c:ext>
            </c:extLst>
          </c:dPt>
          <c:val>
            <c:numRef>
              <c:f>'backend dashboard'!$E$19:$E$21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88-4653-9FF7-23E90650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'backend dashboard'!$E$41:$I$41</c:f>
              <c:numCache>
                <c:formatCode>0.00%</c:formatCode>
                <c:ptCount val="5"/>
                <c:pt idx="0">
                  <c:v>0</c:v>
                </c:pt>
                <c:pt idx="1">
                  <c:v>0.18330708669029774</c:v>
                </c:pt>
                <c:pt idx="2">
                  <c:v>0.23046123060412393</c:v>
                </c:pt>
                <c:pt idx="3">
                  <c:v>0.14079807152617713</c:v>
                </c:pt>
                <c:pt idx="4">
                  <c:v>0.24604754859896744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C-425E-8ABE-F466DF65B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410687"/>
        <c:axId val="1611395807"/>
      </c:lineChart>
      <c:catAx>
        <c:axId val="16114106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11395807"/>
        <c:crosses val="autoZero"/>
        <c:auto val="1"/>
        <c:lblAlgn val="ctr"/>
        <c:lblOffset val="100"/>
        <c:noMultiLvlLbl val="0"/>
      </c:catAx>
      <c:valAx>
        <c:axId val="161139580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6114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Negócio'!$C$4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Negócio'!$D$4:$H$4</c:f>
              <c:numCache>
                <c:formatCode>0%</c:formatCode>
                <c:ptCount val="5"/>
                <c:pt idx="0">
                  <c:v>8.4831708091884714E-2</c:v>
                </c:pt>
                <c:pt idx="1">
                  <c:v>0.10916296336326162</c:v>
                </c:pt>
                <c:pt idx="2">
                  <c:v>9.4553430696491886E-2</c:v>
                </c:pt>
                <c:pt idx="3">
                  <c:v>5.3908954454453852E-2</c:v>
                </c:pt>
                <c:pt idx="4">
                  <c:v>0.18201777115387138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E0-445B-9584-727AE4EC9A35}"/>
            </c:ext>
          </c:extLst>
        </c:ser>
        <c:ser>
          <c:idx val="1"/>
          <c:order val="1"/>
          <c:tx>
            <c:strRef>
              <c:f>'Rentabilidade do Negócio'!$C$5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1.6175618085105051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9E0-445B-9584-727AE4EC9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Negócio'!$D$5:$H$5</c:f>
              <c:numCache>
                <c:formatCode>0%</c:formatCode>
                <c:ptCount val="5"/>
                <c:pt idx="0">
                  <c:v>0</c:v>
                </c:pt>
                <c:pt idx="1">
                  <c:v>7.9248075784487865E-2</c:v>
                </c:pt>
                <c:pt idx="2">
                  <c:v>4.7272087293206616E-2</c:v>
                </c:pt>
                <c:pt idx="3">
                  <c:v>5.5251684502576295E-2</c:v>
                </c:pt>
                <c:pt idx="4">
                  <c:v>7.7359307359307364E-2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E0-445B-9584-727AE4EC9A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52457200"/>
        <c:axId val="152460560"/>
      </c:line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Bruta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Negócio'!$C$7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57-4A5D-BA88-D27FF40200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Negócio'!$D$7:$H$7</c:f>
              <c:numCache>
                <c:formatCode>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 formatCode="0.00%">
                  <c:v>0.44951075206217089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57-4A5D-BA88-D27FF40200ED}"/>
            </c:ext>
          </c:extLst>
        </c:ser>
        <c:ser>
          <c:idx val="1"/>
          <c:order val="1"/>
          <c:tx>
            <c:strRef>
              <c:f>'Rentabilidade do Negócio'!$C$8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7.0753271642422996E-2"/>
                  <c:y val="-3.78787878787882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57-4A5D-BA88-D27FF40200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Negócio'!$D$8:$H$8</c:f>
              <c:numCache>
                <c:formatCode>0%</c:formatCode>
                <c:ptCount val="5"/>
                <c:pt idx="0">
                  <c:v>0</c:v>
                </c:pt>
                <c:pt idx="1">
                  <c:v>0.20100651272942568</c:v>
                </c:pt>
                <c:pt idx="2">
                  <c:v>0.19148187258007743</c:v>
                </c:pt>
                <c:pt idx="3">
                  <c:v>0.26397146254458975</c:v>
                </c:pt>
                <c:pt idx="4" formatCode="0.00%">
                  <c:v>0.20346320346320346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57-4A5D-BA88-D27FF40200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Líquida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Negócio'!$C$10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Negócio'!$D$10:$H$10</c:f>
              <c:numCache>
                <c:formatCode>0%</c:formatCode>
                <c:ptCount val="5"/>
                <c:pt idx="0">
                  <c:v>4.4651377108608711E-2</c:v>
                </c:pt>
                <c:pt idx="1">
                  <c:v>7.0914748862189417E-2</c:v>
                </c:pt>
                <c:pt idx="2">
                  <c:v>6.8964427259887051E-2</c:v>
                </c:pt>
                <c:pt idx="3">
                  <c:v>2.0072413721197713E-2</c:v>
                </c:pt>
                <c:pt idx="4">
                  <c:v>9.9366762966935196E-2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A-46A6-A776-BA5504139629}"/>
            </c:ext>
          </c:extLst>
        </c:ser>
        <c:ser>
          <c:idx val="1"/>
          <c:order val="1"/>
          <c:tx>
            <c:strRef>
              <c:f>'Rentabilidade do Negócio'!$C$11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2.1957911889027827E-2"/>
                  <c:y val="-2.27272727272727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CA-46A6-A776-BA5504139629}"/>
                </c:ext>
              </c:extLst>
            </c:dLbl>
            <c:dLbl>
              <c:idx val="2"/>
              <c:layout>
                <c:manualLayout>
                  <c:x val="2.9277215852037013E-2"/>
                  <c:y val="-3.78787878787878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CA-46A6-A776-BA5504139629}"/>
                </c:ext>
              </c:extLst>
            </c:dLbl>
            <c:dLbl>
              <c:idx val="4"/>
              <c:layout>
                <c:manualLayout>
                  <c:x val="2.9277215852037099E-2"/>
                  <c:y val="-7.57575757575764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CA-46A6-A776-BA55041396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Negócio'!$D$11:$H$11</c:f>
              <c:numCache>
                <c:formatCode>0%</c:formatCode>
                <c:ptCount val="5"/>
                <c:pt idx="0">
                  <c:v>0</c:v>
                </c:pt>
                <c:pt idx="1">
                  <c:v>4.1799881586737718E-2</c:v>
                </c:pt>
                <c:pt idx="2">
                  <c:v>7.743752199929602E-3</c:v>
                </c:pt>
                <c:pt idx="3">
                  <c:v>1.0265556876734047E-2</c:v>
                </c:pt>
                <c:pt idx="4">
                  <c:v>4.4155844155844157E-2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CA-46A6-A776-BA55041396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Nível de Valor Acrescentado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Negócio'!$C$13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Negócio'!$D$13:$H$13</c:f>
              <c:numCache>
                <c:formatCode>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7-471A-B410-0BB49D8F3FEB}"/>
            </c:ext>
          </c:extLst>
        </c:ser>
        <c:ser>
          <c:idx val="1"/>
          <c:order val="1"/>
          <c:tx>
            <c:strRef>
              <c:f>'Rentabilidade do Negócio'!$C$14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277215852037079E-2"/>
                  <c:y val="-3.0303030303030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237-471A-B410-0BB49D8F3FEB}"/>
                </c:ext>
              </c:extLst>
            </c:dLbl>
            <c:dLbl>
              <c:idx val="1"/>
              <c:layout>
                <c:manualLayout>
                  <c:x val="2.1957911889027827E-2"/>
                  <c:y val="-2.27272727272727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37-471A-B410-0BB49D8F3FEB}"/>
                </c:ext>
              </c:extLst>
            </c:dLbl>
            <c:dLbl>
              <c:idx val="2"/>
              <c:layout>
                <c:manualLayout>
                  <c:x val="3.9036287802716042E-2"/>
                  <c:y val="-3.0303030303030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37-471A-B410-0BB49D8F3FEB}"/>
                </c:ext>
              </c:extLst>
            </c:dLbl>
            <c:dLbl>
              <c:idx val="4"/>
              <c:layout>
                <c:manualLayout>
                  <c:x val="6.5873735667083391E-2"/>
                  <c:y val="3.78787878787878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37-471A-B410-0BB49D8F3F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Negócio'!$D$14:$H$14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37-471A-B410-0BB49D8F3F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Negócio'!$C$16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Negócio'!$D$16:$H$16</c:f>
              <c:numCache>
                <c:formatCode>0%</c:formatCode>
                <c:ptCount val="5"/>
                <c:pt idx="0" formatCode="0.0%">
                  <c:v>4.694698603858901E-2</c:v>
                </c:pt>
                <c:pt idx="1">
                  <c:v>6.6916432358693365E-2</c:v>
                </c:pt>
                <c:pt idx="2">
                  <c:v>6.7738547517142464E-2</c:v>
                </c:pt>
                <c:pt idx="3">
                  <c:v>1.3018180321032963E-2</c:v>
                </c:pt>
                <c:pt idx="4">
                  <c:v>8.561181386526856E-2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DC-4553-961C-61BBAA06215C}"/>
            </c:ext>
          </c:extLst>
        </c:ser>
        <c:ser>
          <c:idx val="1"/>
          <c:order val="1"/>
          <c:tx>
            <c:strRef>
              <c:f>'Rentabilidade do Negócio'!$C$17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9518143901358066E-2"/>
                  <c:y val="-2.65151515151515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DC-4553-961C-61BBAA06215C}"/>
                </c:ext>
              </c:extLst>
            </c:dLbl>
            <c:dLbl>
              <c:idx val="2"/>
              <c:layout>
                <c:manualLayout>
                  <c:x val="5.123512774106484E-2"/>
                  <c:y val="-5.30303030303030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DC-4553-961C-61BBAA06215C}"/>
                </c:ext>
              </c:extLst>
            </c:dLbl>
            <c:dLbl>
              <c:idx val="4"/>
              <c:layout>
                <c:manualLayout>
                  <c:x val="2.6837447864367342E-2"/>
                  <c:y val="-3.78787878787885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DC-4553-961C-61BBAA0621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Negócio'!$D$17:$H$17</c:f>
              <c:numCache>
                <c:formatCode>0%</c:formatCode>
                <c:ptCount val="5"/>
                <c:pt idx="0" formatCode="0.0%">
                  <c:v>0</c:v>
                </c:pt>
                <c:pt idx="1">
                  <c:v>5.3182674199623352E-2</c:v>
                </c:pt>
                <c:pt idx="2">
                  <c:v>8.1814801041279282E-3</c:v>
                </c:pt>
                <c:pt idx="3">
                  <c:v>9.6210995542347702E-3</c:v>
                </c:pt>
                <c:pt idx="4">
                  <c:v>7.1578947368421048E-2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DC-4553-961C-61BBAA0621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Turnover do 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tx>
                <c:rich>
                  <a:bodyPr/>
                  <a:lstStyle/>
                  <a:p>
                    <a:fld id="{CAB4D8D6-478D-42B6-863A-B9AD3AC4D368}" type="VALUE">
                      <a:rPr lang="en-US">
                        <a:latin typeface="GalanoGrotesque-Medium" panose="00000600000000000000" pitchFamily="2" charset="0"/>
                      </a:rPr>
                      <a:pPr/>
                      <a:t>[VALUE]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C833-4B5C-B520-72449CEC7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Operacionais!$D$5:$H$5</c:f>
              <c:numCache>
                <c:formatCode>0%</c:formatCode>
                <c:ptCount val="5"/>
                <c:pt idx="0">
                  <c:v>1.0514118282264067</c:v>
                </c:pt>
                <c:pt idx="1">
                  <c:v>0.94361798402098129</c:v>
                </c:pt>
                <c:pt idx="2">
                  <c:v>0.98222446279260833</c:v>
                </c:pt>
                <c:pt idx="3">
                  <c:v>0.64856078107262993</c:v>
                </c:pt>
                <c:pt idx="4">
                  <c:v>0.86157394393290576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3-4B5C-B520-72449CEC7308}"/>
            </c:ext>
          </c:extLst>
        </c:ser>
        <c:ser>
          <c:idx val="1"/>
          <c:order val="1"/>
          <c:tx>
            <c:strRef>
              <c:f>Operacionais!$C$6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2E-2"/>
                  <c:y val="-3.0476181334478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33-4B5C-B520-72449CEC7308}"/>
                </c:ext>
              </c:extLst>
            </c:dLbl>
            <c:dLbl>
              <c:idx val="1"/>
              <c:layout>
                <c:manualLayout>
                  <c:x val="3.0040433586623942E-2"/>
                  <c:y val="-4.57142720017181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33-4B5C-B520-72449CEC7308}"/>
                </c:ext>
              </c:extLst>
            </c:dLbl>
            <c:dLbl>
              <c:idx val="2"/>
              <c:layout>
                <c:manualLayout>
                  <c:x val="3.4662038753796906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33-4B5C-B520-72449CEC7308}"/>
                </c:ext>
              </c:extLst>
            </c:dLbl>
            <c:dLbl>
              <c:idx val="4"/>
              <c:layout>
                <c:manualLayout>
                  <c:x val="4.8526854255315666E-2"/>
                  <c:y val="-4.1904749334908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33-4B5C-B520-72449CEC7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Operacionais!$D$6:$H$6</c:f>
              <c:numCache>
                <c:formatCode>0%</c:formatCode>
                <c:ptCount val="5"/>
                <c:pt idx="0">
                  <c:v>0</c:v>
                </c:pt>
                <c:pt idx="1">
                  <c:v>1.272316384180791</c:v>
                </c:pt>
                <c:pt idx="2">
                  <c:v>1.0565265898103384</c:v>
                </c:pt>
                <c:pt idx="3">
                  <c:v>0.93722139673105498</c:v>
                </c:pt>
                <c:pt idx="4">
                  <c:v>1.6210526315789473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33-4B5C-B520-72449CEC73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RH</a:t>
            </a:r>
            <a:r>
              <a:rPr lang="pt-PT" baseline="0">
                <a:latin typeface="GalanoGrotesque-Medium" panose="00000600000000000000" pitchFamily="2" charset="0"/>
              </a:rPr>
              <a:t> / Volume de Negócios</a:t>
            </a:r>
            <a:endParaRPr lang="pt-PT">
              <a:latin typeface="GalanoGrotesque-Medium" panose="000006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Operacionais!$D$8:$H$8</c:f>
              <c:numCache>
                <c:formatCode>0%</c:formatCode>
                <c:ptCount val="5"/>
                <c:pt idx="0">
                  <c:v>0.23302754026037881</c:v>
                </c:pt>
                <c:pt idx="1">
                  <c:v>0.23905654424290027</c:v>
                </c:pt>
                <c:pt idx="2">
                  <c:v>0.22054066073336789</c:v>
                </c:pt>
                <c:pt idx="3">
                  <c:v>0.2344247476391596</c:v>
                </c:pt>
                <c:pt idx="4">
                  <c:v>0.20130980104280588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C-4831-B972-A1C98762737F}"/>
            </c:ext>
          </c:extLst>
        </c:ser>
        <c:ser>
          <c:idx val="1"/>
          <c:order val="1"/>
          <c:tx>
            <c:strRef>
              <c:f>Operacionais!$C$9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2E-2"/>
                  <c:y val="-2.28571360008591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BC-4831-B972-A1C98762737F}"/>
                </c:ext>
              </c:extLst>
            </c:dLbl>
            <c:dLbl>
              <c:idx val="1"/>
              <c:layout>
                <c:manualLayout>
                  <c:x val="2.3108025835864601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BC-4831-B972-A1C98762737F}"/>
                </c:ext>
              </c:extLst>
            </c:dLbl>
            <c:dLbl>
              <c:idx val="2"/>
              <c:layout>
                <c:manualLayout>
                  <c:x val="3.4662038753796906E-2"/>
                  <c:y val="-1.5238090667239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BC-4831-B972-A1C98762737F}"/>
                </c:ext>
              </c:extLst>
            </c:dLbl>
            <c:dLbl>
              <c:idx val="3"/>
              <c:layout>
                <c:manualLayout>
                  <c:x val="2.7729631003037523E-2"/>
                  <c:y val="-1.5238090667239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BC-4831-B972-A1C98762737F}"/>
                </c:ext>
              </c:extLst>
            </c:dLbl>
            <c:dLbl>
              <c:idx val="4"/>
              <c:layout>
                <c:manualLayout>
                  <c:x val="3.2351236170210358E-2"/>
                  <c:y val="-1.5238090667239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BC-4831-B972-A1C9876273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Operacionais!$D$9:$H$9</c:f>
              <c:numCache>
                <c:formatCode>0%</c:formatCode>
                <c:ptCount val="5"/>
                <c:pt idx="0">
                  <c:v>0</c:v>
                </c:pt>
                <c:pt idx="1">
                  <c:v>5.1213735938425105E-2</c:v>
                </c:pt>
                <c:pt idx="2">
                  <c:v>6.4378739880323832E-2</c:v>
                </c:pt>
                <c:pt idx="3">
                  <c:v>7.043202536662703E-2</c:v>
                </c:pt>
                <c:pt idx="4">
                  <c:v>4.3268398268398268E-2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BC-4831-B972-A1C9876273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 baseline="0">
                <a:latin typeface="GalanoGrotesque-Medium" panose="00000600000000000000" pitchFamily="2" charset="0"/>
              </a:rPr>
              <a:t>FSE / Volume de Negócios</a:t>
            </a:r>
            <a:endParaRPr lang="pt-PT">
              <a:latin typeface="GalanoGrotesque-Medium" panose="000006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Operacionais!$D$11:$H$11</c:f>
              <c:numCache>
                <c:formatCode>0%</c:formatCode>
                <c:ptCount val="5"/>
                <c:pt idx="0">
                  <c:v>8.6147442214230194E-2</c:v>
                </c:pt>
                <c:pt idx="1">
                  <c:v>8.7179918050274086E-2</c:v>
                </c:pt>
                <c:pt idx="2">
                  <c:v>9.2108303554561219E-2</c:v>
                </c:pt>
                <c:pt idx="3">
                  <c:v>0.12904371320848471</c:v>
                </c:pt>
                <c:pt idx="4">
                  <c:v>9.99016672698885E-2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C-4E09-9A8D-A879C0A53F2F}"/>
            </c:ext>
          </c:extLst>
        </c:ser>
        <c:ser>
          <c:idx val="1"/>
          <c:order val="1"/>
          <c:tx>
            <c:strRef>
              <c:f>Operacionais!$C$12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Operacionais!$D$12:$H$12</c:f>
              <c:numCache>
                <c:formatCode>0%</c:formatCode>
                <c:ptCount val="5"/>
                <c:pt idx="0">
                  <c:v>0</c:v>
                </c:pt>
                <c:pt idx="1">
                  <c:v>9.5441089402013027E-2</c:v>
                </c:pt>
                <c:pt idx="2">
                  <c:v>0.10566701865540302</c:v>
                </c:pt>
                <c:pt idx="3">
                  <c:v>0.11236623067776456</c:v>
                </c:pt>
                <c:pt idx="4">
                  <c:v>7.7532467532467536E-2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7C-4E09-9A8D-A879C0A53F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CMVMC / Volume de Negócios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Operacionais!$D$14:$H$14</c:f>
              <c:numCache>
                <c:formatCode>0%</c:formatCode>
                <c:ptCount val="5"/>
                <c:pt idx="0">
                  <c:v>0.57901135381679703</c:v>
                </c:pt>
                <c:pt idx="1">
                  <c:v>0.61568640058027657</c:v>
                </c:pt>
                <c:pt idx="2">
                  <c:v>0.57805689681579864</c:v>
                </c:pt>
                <c:pt idx="3">
                  <c:v>0.59523046592923312</c:v>
                </c:pt>
                <c:pt idx="4">
                  <c:v>0.55048924793782905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2-4CCC-AC0C-FF15F1F795F2}"/>
            </c:ext>
          </c:extLst>
        </c:ser>
        <c:ser>
          <c:idx val="1"/>
          <c:order val="1"/>
          <c:tx>
            <c:strRef>
              <c:f>Operacionais!$C$15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0797223252278122E-2"/>
                  <c:y val="-1.1428568000429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B2-4CCC-AC0C-FF15F1F795F2}"/>
                </c:ext>
              </c:extLst>
            </c:dLbl>
            <c:dLbl>
              <c:idx val="1"/>
              <c:layout>
                <c:manualLayout>
                  <c:x val="2.3108025835864559E-2"/>
                  <c:y val="-2.666665866766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B2-4CCC-AC0C-FF15F1F795F2}"/>
                </c:ext>
              </c:extLst>
            </c:dLbl>
            <c:dLbl>
              <c:idx val="2"/>
              <c:layout>
                <c:manualLayout>
                  <c:x val="2.0797223252278143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B2-4CCC-AC0C-FF15F1F795F2}"/>
                </c:ext>
              </c:extLst>
            </c:dLbl>
            <c:dLbl>
              <c:idx val="3"/>
              <c:layout>
                <c:manualLayout>
                  <c:x val="3.6972841337383364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B2-4CCC-AC0C-FF15F1F795F2}"/>
                </c:ext>
              </c:extLst>
            </c:dLbl>
            <c:dLbl>
              <c:idx val="4"/>
              <c:layout>
                <c:manualLayout>
                  <c:x val="4.1594446504556286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B2-4CCC-AC0C-FF15F1F795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Operacionais!$D$15:$H$15</c:f>
              <c:numCache>
                <c:formatCode>0%</c:formatCode>
                <c:ptCount val="5"/>
                <c:pt idx="0">
                  <c:v>0</c:v>
                </c:pt>
                <c:pt idx="1">
                  <c:v>0.79899348727057429</c:v>
                </c:pt>
                <c:pt idx="2">
                  <c:v>0.80851812741992257</c:v>
                </c:pt>
                <c:pt idx="3">
                  <c:v>0.73602853745541019</c:v>
                </c:pt>
                <c:pt idx="4">
                  <c:v>0.79653679653679654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B2-4CCC-AC0C-FF15F1F795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Custos / Volume de Negócios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Operacionais!$C$17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Operacionais!$D$17:$H$17</c:f>
              <c:numCache>
                <c:formatCode>0%</c:formatCode>
                <c:ptCount val="5"/>
                <c:pt idx="0">
                  <c:v>0.8981863362914061</c:v>
                </c:pt>
                <c:pt idx="1">
                  <c:v>0.94192286287345095</c:v>
                </c:pt>
                <c:pt idx="2">
                  <c:v>0.89070586110372774</c:v>
                </c:pt>
                <c:pt idx="3">
                  <c:v>0.95869892677687751</c:v>
                </c:pt>
                <c:pt idx="4">
                  <c:v>0.85170071625052346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D-4EA9-81DC-EA03C885995E}"/>
            </c:ext>
          </c:extLst>
        </c:ser>
        <c:ser>
          <c:idx val="1"/>
          <c:order val="1"/>
          <c:tx>
            <c:strRef>
              <c:f>Operacionais!$C$18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3.4662038753796906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E0D-4EA9-81DC-EA03C885995E}"/>
                </c:ext>
              </c:extLst>
            </c:dLbl>
            <c:dLbl>
              <c:idx val="1"/>
              <c:layout>
                <c:manualLayout>
                  <c:x val="3.6972841337383405E-2"/>
                  <c:y val="-1.52380906672394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D-4EA9-81DC-EA03C885995E}"/>
                </c:ext>
              </c:extLst>
            </c:dLbl>
            <c:dLbl>
              <c:idx val="3"/>
              <c:layout>
                <c:manualLayout>
                  <c:x val="4.1594446504556286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D-4EA9-81DC-EA03C88599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Operacionais!$D$18:$H$18</c:f>
              <c:numCache>
                <c:formatCode>0%</c:formatCode>
                <c:ptCount val="5"/>
                <c:pt idx="0">
                  <c:v>0</c:v>
                </c:pt>
                <c:pt idx="1">
                  <c:v>0.94564831261101245</c:v>
                </c:pt>
                <c:pt idx="2">
                  <c:v>0.97856388595564947</c:v>
                </c:pt>
                <c:pt idx="3">
                  <c:v>0.91882679349980179</c:v>
                </c:pt>
                <c:pt idx="4">
                  <c:v>0.91733766233766234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D-4EA9-81DC-EA03C88599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Prazo Médio de Pagamentos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Operacionais!$C$20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Operacionais!$D$20:$H$20</c:f>
              <c:numCache>
                <c:formatCode>0</c:formatCode>
                <c:ptCount val="5"/>
                <c:pt idx="0">
                  <c:v>64.441929962468592</c:v>
                </c:pt>
                <c:pt idx="1">
                  <c:v>53.528273552540981</c:v>
                </c:pt>
                <c:pt idx="2">
                  <c:v>41.743900420711832</c:v>
                </c:pt>
                <c:pt idx="3">
                  <c:v>83.322624516067137</c:v>
                </c:pt>
                <c:pt idx="4">
                  <c:v>54.06430636326192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8-4DBF-B97B-674DEBBCF384}"/>
            </c:ext>
          </c:extLst>
        </c:ser>
        <c:ser>
          <c:idx val="1"/>
          <c:order val="1"/>
          <c:tx>
            <c:strRef>
              <c:f>Operacionais!$C$21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Operacionais!$D$21:$H$21</c:f>
              <c:numCache>
                <c:formatCode>0</c:formatCode>
                <c:ptCount val="5"/>
                <c:pt idx="0">
                  <c:v>0</c:v>
                </c:pt>
                <c:pt idx="1">
                  <c:v>34</c:v>
                </c:pt>
                <c:pt idx="2">
                  <c:v>37</c:v>
                </c:pt>
                <c:pt idx="3">
                  <c:v>40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E8-4DBF-B97B-674DEBBCF3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Prazo Médio de Recebimentos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Operacionais!$C$23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Operacionais!$D$23:$H$23</c:f>
              <c:numCache>
                <c:formatCode>0</c:formatCode>
                <c:ptCount val="5"/>
                <c:pt idx="0">
                  <c:v>54.73664247762698</c:v>
                </c:pt>
                <c:pt idx="1">
                  <c:v>40.050145350812791</c:v>
                </c:pt>
                <c:pt idx="2">
                  <c:v>52.354435125686585</c:v>
                </c:pt>
                <c:pt idx="3">
                  <c:v>65.047193907417494</c:v>
                </c:pt>
                <c:pt idx="4">
                  <c:v>58.301957775141851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F-4E5B-A6E3-8F10A5D55AB8}"/>
            </c:ext>
          </c:extLst>
        </c:ser>
        <c:ser>
          <c:idx val="1"/>
          <c:order val="1"/>
          <c:tx>
            <c:strRef>
              <c:f>Operacionais!$C$24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Operacionais!$D$24:$H$24</c:f>
              <c:numCache>
                <c:formatCode>0</c:formatCode>
                <c:ptCount val="5"/>
                <c:pt idx="0">
                  <c:v>0</c:v>
                </c:pt>
                <c:pt idx="1">
                  <c:v>34</c:v>
                </c:pt>
                <c:pt idx="2">
                  <c:v>42</c:v>
                </c:pt>
                <c:pt idx="3">
                  <c:v>50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F-4E5B-A6E3-8F10A5D55A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Liquidez!$D$5:$H$5</c:f>
              <c:numCache>
                <c:formatCode>0%</c:formatCode>
                <c:ptCount val="5"/>
                <c:pt idx="0">
                  <c:v>3.3279040817841121</c:v>
                </c:pt>
                <c:pt idx="1">
                  <c:v>3.6921379687761524</c:v>
                </c:pt>
                <c:pt idx="2">
                  <c:v>3.3108491065906649</c:v>
                </c:pt>
                <c:pt idx="3">
                  <c:v>1.550896543398441</c:v>
                </c:pt>
                <c:pt idx="4">
                  <c:v>2.6558340888656571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1-4B4D-A29E-3376191B7AFC}"/>
            </c:ext>
          </c:extLst>
        </c:ser>
        <c:ser>
          <c:idx val="1"/>
          <c:order val="1"/>
          <c:tx>
            <c:strRef>
              <c:f>Liquidez!$C$6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1594446504556286E-2"/>
                  <c:y val="-4.95237946685280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81-4B4D-A29E-3376191B7AFC}"/>
                </c:ext>
              </c:extLst>
            </c:dLbl>
            <c:dLbl>
              <c:idx val="1"/>
              <c:layout>
                <c:manualLayout>
                  <c:x val="2.7729631003037481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781-4B4D-A29E-3376191B7AFC}"/>
                </c:ext>
              </c:extLst>
            </c:dLbl>
            <c:dLbl>
              <c:idx val="2"/>
              <c:layout>
                <c:manualLayout>
                  <c:x val="3.0040433586623984E-2"/>
                  <c:y val="-0.111314252324183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81-4B4D-A29E-3376191B7AFC}"/>
                </c:ext>
              </c:extLst>
            </c:dLbl>
            <c:dLbl>
              <c:idx val="3"/>
              <c:layout>
                <c:manualLayout>
                  <c:x val="3.6972841337383364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81-4B4D-A29E-3376191B7AFC}"/>
                </c:ext>
              </c:extLst>
            </c:dLbl>
            <c:dLbl>
              <c:idx val="4"/>
              <c:layout>
                <c:manualLayout>
                  <c:x val="6.2391669756834342E-2"/>
                  <c:y val="-4.5714272001718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81-4B4D-A29E-3376191B7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Liquidez!$D$6:$H$6</c:f>
              <c:numCache>
                <c:formatCode>0%</c:formatCode>
                <c:ptCount val="5"/>
                <c:pt idx="0">
                  <c:v>0</c:v>
                </c:pt>
                <c:pt idx="1">
                  <c:v>1.2043758306921584</c:v>
                </c:pt>
                <c:pt idx="2">
                  <c:v>1.7055499203014055</c:v>
                </c:pt>
                <c:pt idx="3">
                  <c:v>1.7434562987907547</c:v>
                </c:pt>
                <c:pt idx="4">
                  <c:v>1.7176030962231417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81-4B4D-A29E-3376191B7A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Reduzida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Liquidez!$D$8:$H$8</c:f>
              <c:numCache>
                <c:formatCode>0%</c:formatCode>
                <c:ptCount val="5"/>
                <c:pt idx="0">
                  <c:v>2.9005202723168235</c:v>
                </c:pt>
                <c:pt idx="1">
                  <c:v>3.1273952380375549</c:v>
                </c:pt>
                <c:pt idx="2">
                  <c:v>2.9256799146473753</c:v>
                </c:pt>
                <c:pt idx="3">
                  <c:v>1.3400343112494026</c:v>
                </c:pt>
                <c:pt idx="4">
                  <c:v>1.6745807490337179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8-42CB-A2A4-944CEE25CBE9}"/>
            </c:ext>
          </c:extLst>
        </c:ser>
        <c:ser>
          <c:idx val="1"/>
          <c:order val="1"/>
          <c:tx>
            <c:strRef>
              <c:f>Liquidez!$C$9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62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68-42CB-A2A4-944CEE25CBE9}"/>
                </c:ext>
              </c:extLst>
            </c:dLbl>
            <c:dLbl>
              <c:idx val="1"/>
              <c:layout>
                <c:manualLayout>
                  <c:x val="3.4662038753796906E-2"/>
                  <c:y val="-3.0476181334478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68-42CB-A2A4-944CEE25CBE9}"/>
                </c:ext>
              </c:extLst>
            </c:dLbl>
            <c:dLbl>
              <c:idx val="2"/>
              <c:layout>
                <c:manualLayout>
                  <c:x val="2.0797223252278143E-2"/>
                  <c:y val="-4.9523794668528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68-42CB-A2A4-944CEE25CBE9}"/>
                </c:ext>
              </c:extLst>
            </c:dLbl>
            <c:dLbl>
              <c:idx val="3"/>
              <c:layout>
                <c:manualLayout>
                  <c:x val="2.7729631003037439E-2"/>
                  <c:y val="-3.0476181334478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68-42CB-A2A4-944CEE25CBE9}"/>
                </c:ext>
              </c:extLst>
            </c:dLbl>
            <c:dLbl>
              <c:idx val="4"/>
              <c:layout>
                <c:manualLayout>
                  <c:x val="3.0040433586623897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68-42CB-A2A4-944CEE25CB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Liquidez!$D$9:$H$9</c:f>
              <c:numCache>
                <c:formatCode>0%</c:formatCode>
                <c:ptCount val="5"/>
                <c:pt idx="0">
                  <c:v>0</c:v>
                </c:pt>
                <c:pt idx="1">
                  <c:v>0.72293221551988551</c:v>
                </c:pt>
                <c:pt idx="2">
                  <c:v>0.9605854224025504</c:v>
                </c:pt>
                <c:pt idx="3">
                  <c:v>1.1397520281647022</c:v>
                </c:pt>
                <c:pt idx="4">
                  <c:v>1.2762578406512746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8-42CB-A2A4-944CEE25CB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imediata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Liquidez!$D$11:$H$11</c:f>
              <c:numCache>
                <c:formatCode>0%</c:formatCode>
                <c:ptCount val="5"/>
                <c:pt idx="0">
                  <c:v>1.0688846665751894</c:v>
                </c:pt>
                <c:pt idx="1">
                  <c:v>1.5355406804137075</c:v>
                </c:pt>
                <c:pt idx="2">
                  <c:v>1.2045406373130232</c:v>
                </c:pt>
                <c:pt idx="3">
                  <c:v>0.37435502549748656</c:v>
                </c:pt>
                <c:pt idx="4">
                  <c:v>0.24765140991901755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7-4DF8-94EF-8598933D76E5}"/>
            </c:ext>
          </c:extLst>
        </c:ser>
        <c:ser>
          <c:idx val="1"/>
          <c:order val="1"/>
          <c:tx>
            <c:strRef>
              <c:f>Liquidez!$C$12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486420668691661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77-4DF8-94EF-8598933D76E5}"/>
                </c:ext>
              </c:extLst>
            </c:dLbl>
            <c:dLbl>
              <c:idx val="1"/>
              <c:layout>
                <c:manualLayout>
                  <c:x val="2.0797223252278185E-2"/>
                  <c:y val="-3.0476181334478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77-4DF8-94EF-8598933D76E5}"/>
                </c:ext>
              </c:extLst>
            </c:dLbl>
            <c:dLbl>
              <c:idx val="2"/>
              <c:layout>
                <c:manualLayout>
                  <c:x val="2.7729631003037523E-2"/>
                  <c:y val="-2.66666586676690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77-4DF8-94EF-8598933D76E5}"/>
                </c:ext>
              </c:extLst>
            </c:dLbl>
            <c:dLbl>
              <c:idx val="3"/>
              <c:layout>
                <c:manualLayout>
                  <c:x val="4.1594446504556286E-2"/>
                  <c:y val="-2.6666658667669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77-4DF8-94EF-8598933D76E5}"/>
                </c:ext>
              </c:extLst>
            </c:dLbl>
            <c:dLbl>
              <c:idx val="4"/>
              <c:layout>
                <c:manualLayout>
                  <c:x val="2.0797314228757812E-2"/>
                  <c:y val="-2.28571360008592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alanoGrotesque-Medium" panose="00000600000000000000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7677632486318034E-2"/>
                      <c:h val="6.83809318692367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677-4DF8-94EF-8598933D76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Liquidez!$D$12:$H$12</c:f>
              <c:numCache>
                <c:formatCode>0%</c:formatCode>
                <c:ptCount val="5"/>
                <c:pt idx="0">
                  <c:v>0</c:v>
                </c:pt>
                <c:pt idx="1">
                  <c:v>0.16020856763112157</c:v>
                </c:pt>
                <c:pt idx="2">
                  <c:v>0.18229242138820462</c:v>
                </c:pt>
                <c:pt idx="3">
                  <c:v>0.25516607990203583</c:v>
                </c:pt>
                <c:pt idx="4">
                  <c:v>0.43093553983718136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7-4DF8-94EF-8598933D76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Autonomia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Financeiros!$D$5:$H$5</c:f>
              <c:numCache>
                <c:formatCode>0%</c:formatCode>
                <c:ptCount val="5"/>
                <c:pt idx="0">
                  <c:v>0.68876843843847013</c:v>
                </c:pt>
                <c:pt idx="1">
                  <c:v>0.73041885626901493</c:v>
                </c:pt>
                <c:pt idx="2">
                  <c:v>0.75926150371354073</c:v>
                </c:pt>
                <c:pt idx="3">
                  <c:v>0.56023880032518347</c:v>
                </c:pt>
                <c:pt idx="4">
                  <c:v>0.5784485773339535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53-4B2F-931F-2D8247DE53A9}"/>
            </c:ext>
          </c:extLst>
        </c:ser>
        <c:ser>
          <c:idx val="1"/>
          <c:order val="1"/>
          <c:tx>
            <c:strRef>
              <c:f>Financeiros!$C$6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0797223252278143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53-4B2F-931F-2D8247DE53A9}"/>
                </c:ext>
              </c:extLst>
            </c:dLbl>
            <c:dLbl>
              <c:idx val="1"/>
              <c:layout>
                <c:manualLayout>
                  <c:x val="1.3864815501518761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3-4B2F-931F-2D8247DE53A9}"/>
                </c:ext>
              </c:extLst>
            </c:dLbl>
            <c:dLbl>
              <c:idx val="2"/>
              <c:layout>
                <c:manualLayout>
                  <c:x val="1.3864815501518676E-2"/>
                  <c:y val="-4.647617653508015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3-4B2F-931F-2D8247DE53A9}"/>
                </c:ext>
              </c:extLst>
            </c:dLbl>
            <c:dLbl>
              <c:idx val="3"/>
              <c:layout>
                <c:manualLayout>
                  <c:x val="1.3864815501518676E-2"/>
                  <c:y val="7.61904533361969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3-4B2F-931F-2D8247DE53A9}"/>
                </c:ext>
              </c:extLst>
            </c:dLbl>
            <c:dLbl>
              <c:idx val="4"/>
              <c:layout>
                <c:manualLayout>
                  <c:x val="1.8486420668691682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53-4B2F-931F-2D8247DE5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Financeiros!$D$6:$H$6</c:f>
              <c:numCache>
                <c:formatCode>0%</c:formatCode>
                <c:ptCount val="5"/>
                <c:pt idx="0">
                  <c:v>0</c:v>
                </c:pt>
                <c:pt idx="1">
                  <c:v>0.47909604519774013</c:v>
                </c:pt>
                <c:pt idx="2">
                  <c:v>0.47192264782447008</c:v>
                </c:pt>
                <c:pt idx="3">
                  <c:v>0.47622585438335807</c:v>
                </c:pt>
                <c:pt idx="4">
                  <c:v>0.49754385964912279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53-4B2F-931F-2D8247DE53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Endividamento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Financeiros!$D$8:$H$8</c:f>
              <c:numCache>
                <c:formatCode>0%</c:formatCode>
                <c:ptCount val="5"/>
                <c:pt idx="0">
                  <c:v>0.31123156156152992</c:v>
                </c:pt>
                <c:pt idx="1">
                  <c:v>0.26958114373098496</c:v>
                </c:pt>
                <c:pt idx="2">
                  <c:v>0.24073849628645932</c:v>
                </c:pt>
                <c:pt idx="3">
                  <c:v>0.43976119967481658</c:v>
                </c:pt>
                <c:pt idx="4">
                  <c:v>0.42155142266604645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1-4AD3-84B6-8E6DF754E4A4}"/>
            </c:ext>
          </c:extLst>
        </c:ser>
        <c:ser>
          <c:idx val="1"/>
          <c:order val="1"/>
          <c:tx>
            <c:strRef>
              <c:f>Financeiros!$C$9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Financeiros!$D$9:$H$9</c:f>
              <c:numCache>
                <c:formatCode>0%</c:formatCode>
                <c:ptCount val="5"/>
                <c:pt idx="0">
                  <c:v>0</c:v>
                </c:pt>
                <c:pt idx="1">
                  <c:v>0.52090395480225993</c:v>
                </c:pt>
                <c:pt idx="2">
                  <c:v>0.52807735217552998</c:v>
                </c:pt>
                <c:pt idx="3">
                  <c:v>0.52377414561664193</c:v>
                </c:pt>
                <c:pt idx="4">
                  <c:v>0.50245614035087716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51-4AD3-84B6-8E6DF754E4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Solvabilidade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Financeiros!$D$11:$H$11</c:f>
              <c:numCache>
                <c:formatCode>0%</c:formatCode>
                <c:ptCount val="5"/>
                <c:pt idx="0">
                  <c:v>3.2130417460965051</c:v>
                </c:pt>
                <c:pt idx="1">
                  <c:v>3.7094582586900069</c:v>
                </c:pt>
                <c:pt idx="2">
                  <c:v>4.1538848810041626</c:v>
                </c:pt>
                <c:pt idx="3">
                  <c:v>2.273961415285056</c:v>
                </c:pt>
                <c:pt idx="4">
                  <c:v>2.3721898355261897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2-4670-8A97-AB58F6502EF5}"/>
            </c:ext>
          </c:extLst>
        </c:ser>
        <c:ser>
          <c:idx val="1"/>
          <c:order val="1"/>
          <c:tx>
            <c:strRef>
              <c:f>Financeiros!$C$12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310802583586460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C2-4670-8A97-AB58F6502EF5}"/>
                </c:ext>
              </c:extLst>
            </c:dLbl>
            <c:dLbl>
              <c:idx val="1"/>
              <c:layout>
                <c:manualLayout>
                  <c:x val="2.0797223252278143E-2"/>
                  <c:y val="-3.80952266680991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C2-4670-8A97-AB58F6502EF5}"/>
                </c:ext>
              </c:extLst>
            </c:dLbl>
            <c:dLbl>
              <c:idx val="2"/>
              <c:layout>
                <c:manualLayout>
                  <c:x val="2.772963100303752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C2-4670-8A97-AB58F6502EF5}"/>
                </c:ext>
              </c:extLst>
            </c:dLbl>
            <c:dLbl>
              <c:idx val="3"/>
              <c:layout>
                <c:manualLayout>
                  <c:x val="3.0040433586623984E-2"/>
                  <c:y val="-3.80952266680991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C2-4670-8A97-AB58F6502EF5}"/>
                </c:ext>
              </c:extLst>
            </c:dLbl>
            <c:dLbl>
              <c:idx val="4"/>
              <c:layout>
                <c:manualLayout>
                  <c:x val="2.079722325227814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C2-4670-8A97-AB58F6502E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Financeiros!$D$12:$H$12</c:f>
              <c:numCache>
                <c:formatCode>0%</c:formatCode>
                <c:ptCount val="5"/>
                <c:pt idx="0">
                  <c:v>0</c:v>
                </c:pt>
                <c:pt idx="1">
                  <c:v>1.9197396963123645</c:v>
                </c:pt>
                <c:pt idx="2">
                  <c:v>1.8936619718309859</c:v>
                </c:pt>
                <c:pt idx="3">
                  <c:v>1.9092198581560285</c:v>
                </c:pt>
                <c:pt idx="4">
                  <c:v>1.9902234636871508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C2-4670-8A97-AB58F6502E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Alavancagem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Financeiros!$C$14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Financeiros!$D$14:$H$14</c:f>
              <c:numCache>
                <c:formatCode>0%</c:formatCode>
                <c:ptCount val="5"/>
                <c:pt idx="0">
                  <c:v>0.11533289875039002</c:v>
                </c:pt>
                <c:pt idx="1">
                  <c:v>9.9316329838738615E-2</c:v>
                </c:pt>
                <c:pt idx="2">
                  <c:v>5.6609746169564677E-2</c:v>
                </c:pt>
                <c:pt idx="3">
                  <c:v>0.18381541881348662</c:v>
                </c:pt>
                <c:pt idx="4">
                  <c:v>0.31224423229879961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1-4C1F-9AFD-A118C34CEBBC}"/>
            </c:ext>
          </c:extLst>
        </c:ser>
        <c:ser>
          <c:idx val="1"/>
          <c:order val="1"/>
          <c:tx>
            <c:strRef>
              <c:f>Financeiros!$C$15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Financeiros!$D$15:$H$15</c:f>
              <c:numCache>
                <c:formatCode>0%</c:formatCode>
                <c:ptCount val="5"/>
                <c:pt idx="0">
                  <c:v>0</c:v>
                </c:pt>
                <c:pt idx="1">
                  <c:v>0.42982652741046212</c:v>
                </c:pt>
                <c:pt idx="2">
                  <c:v>0.443176831943835</c:v>
                </c:pt>
                <c:pt idx="3">
                  <c:v>0.43993010048055919</c:v>
                </c:pt>
                <c:pt idx="4">
                  <c:v>0.38307591907765937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C1-4C1F-9AFD-A118C34CEB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Capital Investido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0"/>
          <c:tx>
            <c:strRef>
              <c:f>Retorno!$C$5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Retorno!$D$5:$H$5</c:f>
              <c:numCache>
                <c:formatCode>0%</c:formatCode>
                <c:ptCount val="5"/>
                <c:pt idx="0">
                  <c:v>4.888094574837322E-2</c:v>
                </c:pt>
                <c:pt idx="1">
                  <c:v>6.8153108599494347E-2</c:v>
                </c:pt>
                <c:pt idx="2">
                  <c:v>6.8476970515392158E-2</c:v>
                </c:pt>
                <c:pt idx="3">
                  <c:v>1.3231124137349412E-2</c:v>
                </c:pt>
                <c:pt idx="4">
                  <c:v>8.7012361096377583E-2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C8-44DA-8D4C-86DC2B53580C}"/>
            </c:ext>
          </c:extLst>
        </c:ser>
        <c:ser>
          <c:idx val="3"/>
          <c:order val="1"/>
          <c:tx>
            <c:strRef>
              <c:f>Retorno!$C$6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</c:spPr>
          <c:invertIfNegative val="0"/>
          <c:dLbls>
            <c:dLbl>
              <c:idx val="1"/>
              <c:layout>
                <c:manualLayout>
                  <c:x val="1.6175618085105179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EC8-44DA-8D4C-86DC2B53580C}"/>
                </c:ext>
              </c:extLst>
            </c:dLbl>
            <c:dLbl>
              <c:idx val="2"/>
              <c:layout>
                <c:manualLayout>
                  <c:x val="1.3864815501518761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EC8-44DA-8D4C-86DC2B53580C}"/>
                </c:ext>
              </c:extLst>
            </c:dLbl>
            <c:dLbl>
              <c:idx val="4"/>
              <c:layout>
                <c:manualLayout>
                  <c:x val="1.617561808510513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EC8-44DA-8D4C-86DC2B5358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Retorno!$D$6:$H$6</c:f>
              <c:numCache>
                <c:formatCode>0%</c:formatCode>
                <c:ptCount val="5"/>
                <c:pt idx="0">
                  <c:v>0</c:v>
                </c:pt>
                <c:pt idx="1">
                  <c:v>6.3954802259887006E-2</c:v>
                </c:pt>
                <c:pt idx="2">
                  <c:v>1.7776124953514317E-2</c:v>
                </c:pt>
                <c:pt idx="3">
                  <c:v>1.7830609212481426E-2</c:v>
                </c:pt>
                <c:pt idx="4">
                  <c:v>7.9122807017543859E-2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EC8-44DA-8D4C-86DC2B5358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Capital Próprio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0"/>
          <c:tx>
            <c:strRef>
              <c:f>Retorno!$C$8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Retorno!$D$8:$H$8</c:f>
              <c:numCache>
                <c:formatCode>0%</c:formatCode>
                <c:ptCount val="5"/>
                <c:pt idx="0">
                  <c:v>6.8160768436231034E-2</c:v>
                </c:pt>
                <c:pt idx="1">
                  <c:v>9.161377993512243E-2</c:v>
                </c:pt>
                <c:pt idx="2">
                  <c:v>8.9216359825743677E-2</c:v>
                </c:pt>
                <c:pt idx="3">
                  <c:v>2.3236841706566425E-2</c:v>
                </c:pt>
                <c:pt idx="4">
                  <c:v>0.14800246248309576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8-406C-B7F2-5E9DF0B5C89A}"/>
            </c:ext>
          </c:extLst>
        </c:ser>
        <c:ser>
          <c:idx val="3"/>
          <c:order val="1"/>
          <c:tx>
            <c:strRef>
              <c:f>Retorno!$C$9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</c:spPr>
          <c:invertIfNegative val="0"/>
          <c:dLbls>
            <c:dLbl>
              <c:idx val="4"/>
              <c:layout>
                <c:manualLayout>
                  <c:x val="2.5418828419450892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38-406C-B7F2-5E9DF0B5C8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Retorno!$D$9:$H$9</c:f>
              <c:numCache>
                <c:formatCode>0%</c:formatCode>
                <c:ptCount val="5"/>
                <c:pt idx="0">
                  <c:v>0</c:v>
                </c:pt>
                <c:pt idx="1">
                  <c:v>0.1110062893081761</c:v>
                </c:pt>
                <c:pt idx="2">
                  <c:v>1.7336485421591805E-2</c:v>
                </c:pt>
                <c:pt idx="3">
                  <c:v>2.0202808112324493E-2</c:v>
                </c:pt>
                <c:pt idx="4">
                  <c:v>0.14386459802538787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38-406C-B7F2-5E9DF0B5C89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en-US"/>
          </a:p>
        </c:txPr>
        <c:crossAx val="15245720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3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4" Type="http://schemas.openxmlformats.org/officeDocument/2006/relationships/chart" Target="../charts/chart6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1242060</xdr:colOff>
          <xdr:row>58</xdr:row>
          <xdr:rowOff>60960</xdr:rowOff>
        </xdr:from>
        <xdr:to>
          <xdr:col>6</xdr:col>
          <xdr:colOff>1569720</xdr:colOff>
          <xdr:row>63</xdr:row>
          <xdr:rowOff>30480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Selecionar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59052</xdr:colOff>
      <xdr:row>0</xdr:row>
      <xdr:rowOff>40005</xdr:rowOff>
    </xdr:from>
    <xdr:to>
      <xdr:col>20</xdr:col>
      <xdr:colOff>99060</xdr:colOff>
      <xdr:row>46</xdr:row>
      <xdr:rowOff>152400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59052" y="40005"/>
          <a:ext cx="12232008" cy="8397413"/>
          <a:chOff x="59055" y="40005"/>
          <a:chExt cx="11298847" cy="7962155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59055" y="40005"/>
            <a:ext cx="11182399" cy="7962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5181" y="88083"/>
            <a:ext cx="3502425" cy="990018"/>
          </a:xfrm>
          <a:prstGeom prst="rect">
            <a:avLst/>
          </a:prstGeom>
        </xdr:spPr>
      </xdr:pic>
      <xdr:grpSp>
        <xdr:nvGrpSpPr>
          <xdr:cNvPr id="64" name="Group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GrpSpPr/>
        </xdr:nvGrpSpPr>
        <xdr:grpSpPr>
          <a:xfrm>
            <a:off x="4125095" y="60474"/>
            <a:ext cx="7053544" cy="7636862"/>
            <a:chOff x="4629150" y="146603"/>
            <a:chExt cx="7315200" cy="7884795"/>
          </a:xfrm>
        </xdr:grpSpPr>
        <xdr:sp macro="" textlink="">
          <xdr:nvSpPr>
            <xdr:cNvPr id="59" name="Rectangle: Rounded Corners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:cNvPr>
            <xdr:cNvSpPr/>
          </xdr:nvSpPr>
          <xdr:spPr>
            <a:xfrm>
              <a:off x="4629150" y="146603"/>
              <a:ext cx="7315200" cy="788479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GrpSpPr/>
          </xdr:nvGrpSpPr>
          <xdr:grpSpPr>
            <a:xfrm>
              <a:off x="5964896" y="2080515"/>
              <a:ext cx="306613" cy="5437339"/>
              <a:chOff x="1202603" y="1839032"/>
              <a:chExt cx="307675" cy="5143887"/>
            </a:xfrm>
          </xdr:grpSpPr>
          <xdr:sp macro="" textlink="">
            <xdr:nvSpPr>
              <xdr:cNvPr id="13" name="Left Brace 12">
                <a:extLst>
                  <a:ext uri="{FF2B5EF4-FFF2-40B4-BE49-F238E27FC236}">
                    <a16:creationId xmlns:a16="http://schemas.microsoft.com/office/drawing/2014/main" id="{00000000-0008-0000-0600-00000D000000}"/>
                  </a:ext>
                </a:extLst>
              </xdr:cNvPr>
              <xdr:cNvSpPr/>
            </xdr:nvSpPr>
            <xdr:spPr>
              <a:xfrm>
                <a:off x="1203560" y="1839032"/>
                <a:ext cx="306694" cy="1135025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4" name="Left Brace 13">
                <a:extLst>
                  <a:ext uri="{FF2B5EF4-FFF2-40B4-BE49-F238E27FC236}">
                    <a16:creationId xmlns:a16="http://schemas.microsoft.com/office/drawing/2014/main" id="{00000000-0008-0000-0600-00000E000000}"/>
                  </a:ext>
                </a:extLst>
              </xdr:cNvPr>
              <xdr:cNvSpPr/>
            </xdr:nvSpPr>
            <xdr:spPr>
              <a:xfrm>
                <a:off x="1203535" y="3025726"/>
                <a:ext cx="306743" cy="1945436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5" name="Left Brace 14">
                <a:extLst>
                  <a:ext uri="{FF2B5EF4-FFF2-40B4-BE49-F238E27FC236}">
                    <a16:creationId xmlns:a16="http://schemas.microsoft.com/office/drawing/2014/main" id="{00000000-0008-0000-0600-00000F000000}"/>
                  </a:ext>
                </a:extLst>
              </xdr:cNvPr>
              <xdr:cNvSpPr/>
            </xdr:nvSpPr>
            <xdr:spPr>
              <a:xfrm>
                <a:off x="1204493" y="5022832"/>
                <a:ext cx="304827" cy="671390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6" name="Left Brace 15">
                <a:extLst>
                  <a:ext uri="{FF2B5EF4-FFF2-40B4-BE49-F238E27FC236}">
                    <a16:creationId xmlns:a16="http://schemas.microsoft.com/office/drawing/2014/main" id="{00000000-0008-0000-0600-000010000000}"/>
                  </a:ext>
                </a:extLst>
              </xdr:cNvPr>
              <xdr:cNvSpPr/>
            </xdr:nvSpPr>
            <xdr:spPr>
              <a:xfrm>
                <a:off x="1203535" y="5745892"/>
                <a:ext cx="306743" cy="861384"/>
              </a:xfrm>
              <a:prstGeom prst="leftBrace">
                <a:avLst/>
              </a:prstGeom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7" name="Left Brace 16">
                <a:extLst>
                  <a:ext uri="{FF2B5EF4-FFF2-40B4-BE49-F238E27FC236}">
                    <a16:creationId xmlns:a16="http://schemas.microsoft.com/office/drawing/2014/main" id="{00000000-0008-0000-0600-000011000000}"/>
                  </a:ext>
                </a:extLst>
              </xdr:cNvPr>
              <xdr:cNvSpPr/>
            </xdr:nvSpPr>
            <xdr:spPr>
              <a:xfrm>
                <a:off x="1202603" y="6658948"/>
                <a:ext cx="300986" cy="323971"/>
              </a:xfrm>
              <a:prstGeom prst="leftBrace">
                <a:avLst/>
              </a:prstGeom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GrpSpPr/>
          </xdr:nvGrpSpPr>
          <xdr:grpSpPr>
            <a:xfrm>
              <a:off x="6458490" y="353541"/>
              <a:ext cx="3654615" cy="1263547"/>
              <a:chOff x="7107555" y="234315"/>
              <a:chExt cx="3446145" cy="1189969"/>
            </a:xfrm>
          </xdr:grpSpPr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600-000008000000}"/>
                  </a:ext>
                </a:extLst>
              </xdr:cNvPr>
              <xdr:cNvSpPr txBox="1"/>
            </xdr:nvSpPr>
            <xdr:spPr>
              <a:xfrm>
                <a:off x="7903845" y="815341"/>
                <a:ext cx="1849755" cy="60894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PT" sz="1100">
                    <a:solidFill>
                      <a:schemeClr val="accent1"/>
                    </a:solidFill>
                  </a:rPr>
                  <a:t>Posicionamento</a:t>
                </a:r>
                <a:r>
                  <a:rPr lang="pt-PT" sz="1100" baseline="0">
                    <a:solidFill>
                      <a:schemeClr val="accent1"/>
                    </a:solidFill>
                  </a:rPr>
                  <a:t> médio do setor (= 100) no último ano listado</a:t>
                </a:r>
              </a:p>
              <a:p>
                <a:pPr algn="ctr"/>
                <a:endParaRPr lang="pt-PT" sz="1100" baseline="0">
                  <a:solidFill>
                    <a:schemeClr val="accent1"/>
                  </a:solidFill>
                </a:endParaRPr>
              </a:p>
            </xdr:txBody>
          </xdr:sp>
          <xdr:sp macro="" textlink="">
            <xdr:nvSpPr>
              <xdr:cNvPr id="10" name="TextBox 9">
                <a:extLst>
                  <a:ext uri="{FF2B5EF4-FFF2-40B4-BE49-F238E27FC236}">
                    <a16:creationId xmlns:a16="http://schemas.microsoft.com/office/drawing/2014/main" id="{00000000-0008-0000-0600-00000A000000}"/>
                  </a:ext>
                </a:extLst>
              </xdr:cNvPr>
              <xdr:cNvSpPr txBox="1"/>
            </xdr:nvSpPr>
            <xdr:spPr>
              <a:xfrm>
                <a:off x="7107555" y="234315"/>
                <a:ext cx="3446145" cy="6057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PT" sz="1400">
                    <a:solidFill>
                      <a:schemeClr val="accent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Comparação</a:t>
                </a:r>
                <a:r>
                  <a:rPr lang="pt-PT" sz="1400" baseline="0">
                    <a:solidFill>
                      <a:schemeClr val="accent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 do desempenho de indicadores chave da empresa face ao setor</a:t>
                </a:r>
                <a:endParaRPr lang="pt-PT" sz="1400">
                  <a:solidFill>
                    <a:schemeClr val="accent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29" name="Group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GrpSpPr/>
          </xdr:nvGrpSpPr>
          <xdr:grpSpPr>
            <a:xfrm>
              <a:off x="4650699" y="2330410"/>
              <a:ext cx="1292447" cy="5168559"/>
              <a:chOff x="4399635" y="1923379"/>
              <a:chExt cx="1216995" cy="4913213"/>
            </a:xfrm>
          </xdr:grpSpPr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0600-000013000000}"/>
                  </a:ext>
                </a:extLst>
              </xdr:cNvPr>
              <xdr:cNvSpPr txBox="1"/>
            </xdr:nvSpPr>
            <xdr:spPr>
              <a:xfrm>
                <a:off x="4399635" y="1923379"/>
                <a:ext cx="1216995" cy="46636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Rentabilidade do Negócio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0600-000014000000}"/>
                  </a:ext>
                </a:extLst>
              </xdr:cNvPr>
              <xdr:cNvSpPr txBox="1"/>
            </xdr:nvSpPr>
            <xdr:spPr>
              <a:xfrm>
                <a:off x="4571525" y="3677320"/>
                <a:ext cx="1044929" cy="28435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Operacionais</a:t>
                </a:r>
              </a:p>
            </xdr:txBody>
          </xdr:sp>
          <xdr:sp macro="" textlink="">
            <xdr:nvSpPr>
              <xdr:cNvPr id="21" name="TextBox 20">
                <a:extLst>
                  <a:ext uri="{FF2B5EF4-FFF2-40B4-BE49-F238E27FC236}">
                    <a16:creationId xmlns:a16="http://schemas.microsoft.com/office/drawing/2014/main" id="{00000000-0008-0000-0600-000015000000}"/>
                  </a:ext>
                </a:extLst>
              </xdr:cNvPr>
              <xdr:cNvSpPr txBox="1"/>
            </xdr:nvSpPr>
            <xdr:spPr>
              <a:xfrm>
                <a:off x="4875495" y="5091947"/>
                <a:ext cx="740959" cy="28436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Liquidez</a:t>
                </a:r>
              </a:p>
            </xdr:txBody>
          </xdr:sp>
          <xdr:sp macro="" textlink="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00000000-0008-0000-0600-000016000000}"/>
                  </a:ext>
                </a:extLst>
              </xdr:cNvPr>
              <xdr:cNvSpPr txBox="1"/>
            </xdr:nvSpPr>
            <xdr:spPr>
              <a:xfrm>
                <a:off x="4708282" y="5881486"/>
                <a:ext cx="908172" cy="2792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Financeiros</a:t>
                </a:r>
              </a:p>
            </xdr:txBody>
          </xdr:sp>
          <xdr:sp macro="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00000000-0008-0000-0600-000017000000}"/>
                  </a:ext>
                </a:extLst>
              </xdr:cNvPr>
              <xdr:cNvSpPr txBox="1"/>
            </xdr:nvSpPr>
            <xdr:spPr>
              <a:xfrm>
                <a:off x="4934392" y="6557364"/>
                <a:ext cx="682062" cy="2792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Retorno</a:t>
                </a:r>
              </a:p>
            </xdr:txBody>
          </xdr:sp>
        </xdr:grpSp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6290164" y="1762503"/>
            <a:ext cx="5147456" cy="597314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GrpSpPr/>
        </xdr:nvGrpSpPr>
        <xdr:grpSpPr>
          <a:xfrm>
            <a:off x="142343" y="1238896"/>
            <a:ext cx="3865790" cy="6461841"/>
            <a:chOff x="549648" y="1245139"/>
            <a:chExt cx="3998634" cy="6659192"/>
          </a:xfrm>
        </xdr:grpSpPr>
        <xdr:grpSp>
          <xdr:nvGrpSpPr>
            <xdr:cNvPr id="49" name="Group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GrpSpPr/>
          </xdr:nvGrpSpPr>
          <xdr:grpSpPr>
            <a:xfrm>
              <a:off x="549702" y="1249249"/>
              <a:ext cx="1908828" cy="2191759"/>
              <a:chOff x="545892" y="1253187"/>
              <a:chExt cx="1908828" cy="2187949"/>
            </a:xfrm>
          </xdr:grpSpPr>
          <xdr:sp macro="" textlink="">
            <xdr:nvSpPr>
              <xdr:cNvPr id="36" name="Rectangle: Rounded Corners 35">
                <a:extLst>
                  <a:ext uri="{FF2B5EF4-FFF2-40B4-BE49-F238E27FC236}">
                    <a16:creationId xmlns:a16="http://schemas.microsoft.com/office/drawing/2014/main" id="{00000000-0008-0000-0600-000024000000}"/>
                  </a:ext>
                </a:extLst>
              </xdr:cNvPr>
              <xdr:cNvSpPr/>
            </xdr:nvSpPr>
            <xdr:spPr>
              <a:xfrm>
                <a:off x="545892" y="1253187"/>
                <a:ext cx="1908828" cy="2187949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00000000-0008-0000-0600-000003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86052" y="1411864"/>
              <a:ext cx="1828877" cy="187676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</xdr:grp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/>
          </xdr:nvGrpSpPr>
          <xdr:grpSpPr>
            <a:xfrm>
              <a:off x="552676" y="3495216"/>
              <a:ext cx="1923162" cy="2172117"/>
              <a:chOff x="548866" y="3491406"/>
              <a:chExt cx="1926972" cy="2172117"/>
            </a:xfrm>
          </xdr:grpSpPr>
          <xdr:sp macro="" textlink="">
            <xdr:nvSpPr>
              <xdr:cNvPr id="38" name="Rectangle: Rounded Corners 37">
                <a:extLst>
                  <a:ext uri="{FF2B5EF4-FFF2-40B4-BE49-F238E27FC236}">
                    <a16:creationId xmlns:a16="http://schemas.microsoft.com/office/drawing/2014/main" id="{00000000-0008-0000-0600-000026000000}"/>
                  </a:ext>
                </a:extLst>
              </xdr:cNvPr>
              <xdr:cNvSpPr/>
            </xdr:nvSpPr>
            <xdr:spPr>
              <a:xfrm>
                <a:off x="548866" y="3491406"/>
                <a:ext cx="1926972" cy="2172117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11" name="Chart 10">
                <a:extLst>
                  <a:ext uri="{FF2B5EF4-FFF2-40B4-BE49-F238E27FC236}">
                    <a16:creationId xmlns:a16="http://schemas.microsoft.com/office/drawing/2014/main" id="{00000000-0008-0000-0600-00000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89536" y="3642192"/>
              <a:ext cx="1845630" cy="1873041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/>
          </xdr:nvGrpSpPr>
          <xdr:grpSpPr>
            <a:xfrm>
              <a:off x="549648" y="5736172"/>
              <a:ext cx="1907584" cy="2168159"/>
              <a:chOff x="553458" y="5726582"/>
              <a:chExt cx="1907584" cy="2170064"/>
            </a:xfrm>
          </xdr:grpSpPr>
          <xdr:sp macro="" textlink="">
            <xdr:nvSpPr>
              <xdr:cNvPr id="40" name="Rectangle: Rounded Corners 39">
                <a:extLst>
                  <a:ext uri="{FF2B5EF4-FFF2-40B4-BE49-F238E27FC236}">
                    <a16:creationId xmlns:a16="http://schemas.microsoft.com/office/drawing/2014/main" id="{00000000-0008-0000-0600-000028000000}"/>
                  </a:ext>
                </a:extLst>
              </xdr:cNvPr>
              <xdr:cNvSpPr/>
            </xdr:nvSpPr>
            <xdr:spPr>
              <a:xfrm>
                <a:off x="553458" y="5726582"/>
                <a:ext cx="1907584" cy="2170064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24" name="Chart 23">
                <a:extLst>
                  <a:ext uri="{FF2B5EF4-FFF2-40B4-BE49-F238E27FC236}">
                    <a16:creationId xmlns:a16="http://schemas.microsoft.com/office/drawing/2014/main" id="{00000000-0008-0000-0600-00001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62991" y="5848612"/>
              <a:ext cx="1894434" cy="19145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</xdr:grpSp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:cNvPr>
            <xdr:cNvGrpSpPr/>
          </xdr:nvGrpSpPr>
          <xdr:grpSpPr>
            <a:xfrm>
              <a:off x="2608171" y="1245139"/>
              <a:ext cx="1940111" cy="6646734"/>
              <a:chOff x="2604346" y="1248994"/>
              <a:chExt cx="1947743" cy="6642922"/>
            </a:xfrm>
          </xdr:grpSpPr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0000000-0008-0000-0600-000034000000}"/>
                  </a:ext>
                </a:extLst>
              </xdr:cNvPr>
              <xdr:cNvGrpSpPr/>
            </xdr:nvGrpSpPr>
            <xdr:grpSpPr>
              <a:xfrm>
                <a:off x="2607779" y="3499957"/>
                <a:ext cx="1942551" cy="2151587"/>
                <a:chOff x="2607779" y="3499957"/>
                <a:chExt cx="1936836" cy="2151587"/>
              </a:xfrm>
            </xdr:grpSpPr>
            <xdr:sp macro="" textlink="">
              <xdr:nvSpPr>
                <xdr:cNvPr id="39" name="Rectangle: Rounded Corners 38">
                  <a:extLst>
                    <a:ext uri="{FF2B5EF4-FFF2-40B4-BE49-F238E27FC236}">
                      <a16:creationId xmlns:a16="http://schemas.microsoft.com/office/drawing/2014/main" id="{00000000-0008-0000-0600-000027000000}"/>
                    </a:ext>
                  </a:extLst>
                </xdr:cNvPr>
                <xdr:cNvSpPr/>
              </xdr:nvSpPr>
              <xdr:spPr>
                <a:xfrm>
                  <a:off x="2607779" y="3499957"/>
                  <a:ext cx="1936836" cy="2151587"/>
                </a:xfrm>
                <a:prstGeom prst="roundRect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18" name="Chart 17">
                  <a:extLst>
                    <a:ext uri="{FF2B5EF4-FFF2-40B4-BE49-F238E27FC236}">
                      <a16:creationId xmlns:a16="http://schemas.microsoft.com/office/drawing/2014/main" id="{00000000-0008-0000-0600-000012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46990" y="3634171"/>
                <a:ext cx="1858413" cy="187716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"/>
                </a:graphicData>
              </a:graphic>
            </xdr:graphicFrame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600-000036000000}"/>
                  </a:ext>
                </a:extLst>
              </xdr:cNvPr>
              <xdr:cNvGrpSpPr/>
            </xdr:nvGrpSpPr>
            <xdr:grpSpPr>
              <a:xfrm>
                <a:off x="2612373" y="5733430"/>
                <a:ext cx="1937174" cy="2158486"/>
                <a:chOff x="2612373" y="5727519"/>
                <a:chExt cx="1937174" cy="2164201"/>
              </a:xfrm>
            </xdr:grpSpPr>
            <xdr:sp macro="" textlink="">
              <xdr:nvSpPr>
                <xdr:cNvPr id="41" name="Rectangle: Rounded Corners 40">
                  <a:extLst>
                    <a:ext uri="{FF2B5EF4-FFF2-40B4-BE49-F238E27FC236}">
                      <a16:creationId xmlns:a16="http://schemas.microsoft.com/office/drawing/2014/main" id="{00000000-0008-0000-0600-000029000000}"/>
                    </a:ext>
                  </a:extLst>
                </xdr:cNvPr>
                <xdr:cNvSpPr/>
              </xdr:nvSpPr>
              <xdr:spPr>
                <a:xfrm>
                  <a:off x="2612373" y="5727519"/>
                  <a:ext cx="1937174" cy="2164201"/>
                </a:xfrm>
                <a:prstGeom prst="roundRect">
                  <a:avLst>
                    <a:gd name="adj" fmla="val 14025"/>
                  </a:avLst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25" name="Chart 24">
                  <a:extLst>
                    <a:ext uri="{FF2B5EF4-FFF2-40B4-BE49-F238E27FC236}">
                      <a16:creationId xmlns:a16="http://schemas.microsoft.com/office/drawing/2014/main" id="{00000000-0008-0000-0600-000019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36283" y="5870649"/>
                <a:ext cx="1881868" cy="186387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7"/>
                </a:graphicData>
              </a:graphic>
            </xdr:graphicFrame>
          </xdr:grpSp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00000000-0008-0000-0600-000032000000}"/>
                  </a:ext>
                </a:extLst>
              </xdr:cNvPr>
              <xdr:cNvGrpSpPr/>
            </xdr:nvGrpSpPr>
            <xdr:grpSpPr>
              <a:xfrm>
                <a:off x="2604346" y="1248994"/>
                <a:ext cx="1947743" cy="2203781"/>
                <a:chOff x="2604355" y="1249122"/>
                <a:chExt cx="1940118" cy="2199971"/>
              </a:xfrm>
            </xdr:grpSpPr>
            <xdr:sp macro="" textlink="">
              <xdr:nvSpPr>
                <xdr:cNvPr id="37" name="Rectangle: Rounded Corners 36">
                  <a:extLst>
                    <a:ext uri="{FF2B5EF4-FFF2-40B4-BE49-F238E27FC236}">
                      <a16:creationId xmlns:a16="http://schemas.microsoft.com/office/drawing/2014/main" id="{00000000-0008-0000-0600-000025000000}"/>
                    </a:ext>
                  </a:extLst>
                </xdr:cNvPr>
                <xdr:cNvSpPr/>
              </xdr:nvSpPr>
              <xdr:spPr>
                <a:xfrm>
                  <a:off x="2604355" y="1249122"/>
                  <a:ext cx="1940118" cy="2199971"/>
                </a:xfrm>
                <a:prstGeom prst="roundRect">
                  <a:avLst/>
                </a:prstGeom>
                <a:solidFill>
                  <a:schemeClr val="accent6"/>
                </a:solidFill>
                <a:ln>
                  <a:noFill/>
                </a:ln>
                <a:effectLst>
                  <a:softEdge rad="0"/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26" name="Chart 25">
                  <a:extLst>
                    <a:ext uri="{FF2B5EF4-FFF2-40B4-BE49-F238E27FC236}">
                      <a16:creationId xmlns:a16="http://schemas.microsoft.com/office/drawing/2014/main" id="{00000000-0008-0000-0600-00001A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47196" y="1389965"/>
                <a:ext cx="1863968" cy="189095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8"/>
                </a:graphicData>
              </a:graphic>
            </xdr:graphicFrame>
          </xdr:grpSp>
        </xdr:grpSp>
      </xdr:grp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 txBox="1"/>
        </xdr:nvSpPr>
        <xdr:spPr>
          <a:xfrm>
            <a:off x="9747106" y="7649634"/>
            <a:ext cx="1610796" cy="23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PT" sz="900">
                <a:latin typeface="Segoe UI" panose="020B0502040204020203" pitchFamily="34" charset="0"/>
                <a:cs typeface="Segoe UI" panose="020B0502040204020203" pitchFamily="34" charset="0"/>
              </a:rPr>
              <a:t>Fonte: Banco de Portugal</a:t>
            </a:r>
          </a:p>
        </xdr:txBody>
      </xdr:sp>
    </xdr:grpSp>
    <xdr:clientData/>
  </xdr:twoCellAnchor>
  <xdr:oneCellAnchor>
    <xdr:from>
      <xdr:col>19</xdr:col>
      <xdr:colOff>125730</xdr:colOff>
      <xdr:row>13</xdr:row>
      <xdr:rowOff>129540</xdr:rowOff>
    </xdr:from>
    <xdr:ext cx="184731" cy="26456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11708130" y="24822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0</xdr:col>
      <xdr:colOff>118109</xdr:colOff>
      <xdr:row>44</xdr:row>
      <xdr:rowOff>148590</xdr:rowOff>
    </xdr:from>
    <xdr:ext cx="9957435" cy="282450"/>
    <xdr:sp macro="" textlink="'Rúbricas BP Todas as dimensões'!$B$6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18109" y="8111490"/>
          <a:ext cx="995743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502EC5-142F-40C9-80AE-86C66FB78E7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Ativo</a:t>
          </a:fld>
          <a:endParaRPr lang="pt-PT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118110</xdr:colOff>
      <xdr:row>62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5967710" cy="1162594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1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>
    <xdr:from>
      <xdr:col>0</xdr:col>
      <xdr:colOff>39414</xdr:colOff>
      <xdr:row>0</xdr:row>
      <xdr:rowOff>0</xdr:rowOff>
    </xdr:from>
    <xdr:to>
      <xdr:col>26</xdr:col>
      <xdr:colOff>163239</xdr:colOff>
      <xdr:row>20</xdr:row>
      <xdr:rowOff>59055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>
          <a:off x="39414" y="0"/>
          <a:ext cx="15836791" cy="3737676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</xdr:col>
      <xdr:colOff>361950</xdr:colOff>
      <xdr:row>61</xdr:row>
      <xdr:rowOff>102605</xdr:rowOff>
    </xdr:from>
    <xdr:to>
      <xdr:col>26</xdr:col>
      <xdr:colOff>205743</xdr:colOff>
      <xdr:row>62</xdr:row>
      <xdr:rowOff>168320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4382750" y="11142080"/>
          <a:ext cx="1672593" cy="246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900">
              <a:latin typeface="Segoe UI" panose="020B0502040204020203" pitchFamily="34" charset="0"/>
              <a:cs typeface="Segoe UI" panose="020B0502040204020203" pitchFamily="34" charset="0"/>
            </a:rPr>
            <a:t>Fonte: Banco de Portugal</a:t>
          </a:r>
        </a:p>
      </xdr:txBody>
    </xdr:sp>
    <xdr:clientData/>
  </xdr:twoCellAnchor>
  <xdr:oneCellAnchor>
    <xdr:from>
      <xdr:col>0</xdr:col>
      <xdr:colOff>0</xdr:colOff>
      <xdr:row>44</xdr:row>
      <xdr:rowOff>102870</xdr:rowOff>
    </xdr:from>
    <xdr:ext cx="9957435" cy="282450"/>
    <xdr:sp macro="" textlink="$V$52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0" y="8065770"/>
          <a:ext cx="995743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3CC1DAF-E5CB-4832-83CA-805789F2086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pt-PT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14</xdr:col>
      <xdr:colOff>288375</xdr:colOff>
      <xdr:row>2</xdr:row>
      <xdr:rowOff>152400</xdr:rowOff>
    </xdr:from>
    <xdr:to>
      <xdr:col>26</xdr:col>
      <xdr:colOff>402865</xdr:colOff>
      <xdr:row>11</xdr:row>
      <xdr:rowOff>146683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GrpSpPr/>
      </xdr:nvGrpSpPr>
      <xdr:grpSpPr>
        <a:xfrm>
          <a:off x="8822775" y="522514"/>
          <a:ext cx="7429690" cy="1659798"/>
          <a:chOff x="4264110" y="95250"/>
          <a:chExt cx="7429690" cy="1609237"/>
        </a:xfrm>
      </xdr:grpSpPr>
      <xdr:sp macro="" textlink="">
        <xdr:nvSpPr>
          <xdr:cNvPr id="7" name="CaixaDeTexto 7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4264110" y="95250"/>
            <a:ext cx="4347677" cy="620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3200">
                <a:solidFill>
                  <a:schemeClr val="accent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Comparação</a:t>
            </a:r>
            <a:r>
              <a:rPr lang="pt-BR" sz="3200" baseline="0">
                <a:solidFill>
                  <a:schemeClr val="accent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Setorial</a:t>
            </a:r>
            <a:endParaRPr lang="pt-BR" sz="3200">
              <a:solidFill>
                <a:schemeClr val="accent6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" name="CaixaDeTexto 8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4264110" y="523328"/>
            <a:ext cx="7429690" cy="9934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44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Rentabilidade de </a:t>
            </a:r>
            <a:r>
              <a:rPr lang="pt-BR" sz="54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negócio</a:t>
            </a:r>
            <a:endParaRPr lang="pt-BR" sz="44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9" name="CaixaDeTexto 17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 txBox="1"/>
        </xdr:nvSpPr>
        <xdr:spPr>
          <a:xfrm>
            <a:off x="4264110" y="1380637"/>
            <a:ext cx="6293400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 i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Qual</a:t>
            </a:r>
            <a:r>
              <a:rPr lang="pt-BR" sz="1600" i="0" baseline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é a lucratividade do meu negócio, comparado ao setor?</a:t>
            </a:r>
            <a:endParaRPr lang="pt-BR" sz="1600" i="0">
              <a:solidFill>
                <a:schemeClr val="bg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516255</xdr:colOff>
      <xdr:row>0</xdr:row>
      <xdr:rowOff>154305</xdr:rowOff>
    </xdr:from>
    <xdr:to>
      <xdr:col>13</xdr:col>
      <xdr:colOff>363855</xdr:colOff>
      <xdr:row>14</xdr:row>
      <xdr:rowOff>94215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" y="154305"/>
          <a:ext cx="7772400" cy="2464035"/>
        </a:xfrm>
        <a:prstGeom prst="rect">
          <a:avLst/>
        </a:prstGeom>
      </xdr:spPr>
    </xdr:pic>
    <xdr:clientData/>
  </xdr:twoCellAnchor>
  <xdr:twoCellAnchor>
    <xdr:from>
      <xdr:col>0</xdr:col>
      <xdr:colOff>138092</xdr:colOff>
      <xdr:row>17</xdr:row>
      <xdr:rowOff>168568</xdr:rowOff>
    </xdr:from>
    <xdr:to>
      <xdr:col>26</xdr:col>
      <xdr:colOff>39326</xdr:colOff>
      <xdr:row>63</xdr:row>
      <xdr:rowOff>59052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GrpSpPr/>
      </xdr:nvGrpSpPr>
      <xdr:grpSpPr>
        <a:xfrm>
          <a:off x="138092" y="3314539"/>
          <a:ext cx="15750834" cy="8403113"/>
          <a:chOff x="135254" y="2897021"/>
          <a:chExt cx="18141384" cy="8218653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GrpSpPr/>
        </xdr:nvGrpSpPr>
        <xdr:grpSpPr>
          <a:xfrm>
            <a:off x="135254" y="2930941"/>
            <a:ext cx="18141384" cy="8184733"/>
            <a:chOff x="232410" y="1377976"/>
            <a:chExt cx="11196097" cy="6519202"/>
          </a:xfrm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232410" y="1387017"/>
              <a:ext cx="2190512" cy="650938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2460083" y="1383184"/>
              <a:ext cx="2205990" cy="6510962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4707045" y="1380173"/>
              <a:ext cx="2206049" cy="651700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6954066" y="1380173"/>
              <a:ext cx="2208014" cy="651700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9226327" y="1377976"/>
              <a:ext cx="2202180" cy="650938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17" name="CaixaDeTexto 20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 txBox="1"/>
        </xdr:nvSpPr>
        <xdr:spPr>
          <a:xfrm>
            <a:off x="693420" y="3124200"/>
            <a:ext cx="2446828" cy="792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Operacional</a:t>
            </a:r>
          </a:p>
        </xdr:txBody>
      </xdr:sp>
      <xdr:sp macro="" textlink="">
        <xdr:nvSpPr>
          <xdr:cNvPr id="18" name="CaixaDeTexto 22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4371975" y="3246120"/>
            <a:ext cx="2476500" cy="542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Bruta</a:t>
            </a:r>
          </a:p>
        </xdr:txBody>
      </xdr:sp>
      <xdr:sp macro="" textlink="">
        <xdr:nvSpPr>
          <xdr:cNvPr id="20" name="CaixaDeTexto 23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 txBox="1"/>
        </xdr:nvSpPr>
        <xdr:spPr>
          <a:xfrm>
            <a:off x="7962898" y="3276599"/>
            <a:ext cx="2476500" cy="8172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Líquida</a:t>
            </a:r>
          </a:p>
        </xdr:txBody>
      </xdr:sp>
      <xdr:sp macro="" textlink="">
        <xdr:nvSpPr>
          <xdr:cNvPr id="21" name="CaixaDeTexto 2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 txBox="1"/>
        </xdr:nvSpPr>
        <xdr:spPr>
          <a:xfrm>
            <a:off x="11542260" y="2949916"/>
            <a:ext cx="2476500" cy="792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Nível</a:t>
            </a:r>
            <a:r>
              <a:rPr lang="pt-BR" sz="2000" baseline="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Valor Acrescentado</a:t>
            </a:r>
            <a:endParaRPr lang="pt-BR" sz="20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22" name="CaixaDeTexto 25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15220950" y="2897021"/>
            <a:ext cx="2476500" cy="800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Rentabilidade</a:t>
            </a:r>
            <a:r>
              <a:rPr lang="pt-BR" sz="2000" baseline="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do Ativo</a:t>
            </a:r>
            <a:endParaRPr lang="pt-BR" sz="20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0</xdr:col>
      <xdr:colOff>361950</xdr:colOff>
      <xdr:row>22</xdr:row>
      <xdr:rowOff>3809</xdr:rowOff>
    </xdr:from>
    <xdr:to>
      <xdr:col>4</xdr:col>
      <xdr:colOff>435930</xdr:colOff>
      <xdr:row>26</xdr:row>
      <xdr:rowOff>11339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361950" y="3985259"/>
          <a:ext cx="2512380" cy="731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eficiência com a qual a empresa gere suas despesas operacionais em relação a receita?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457197</xdr:colOff>
      <xdr:row>22</xdr:row>
      <xdr:rowOff>9524</xdr:rowOff>
    </xdr:from>
    <xdr:to>
      <xdr:col>9</xdr:col>
      <xdr:colOff>514347</xdr:colOff>
      <xdr:row>26</xdr:row>
      <xdr:rowOff>3719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505197" y="3990974"/>
          <a:ext cx="2495550" cy="71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o lucro obtido após subtrairem-se os custos de produção?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594357</xdr:colOff>
      <xdr:row>22</xdr:row>
      <xdr:rowOff>3809</xdr:rowOff>
    </xdr:from>
    <xdr:to>
      <xdr:col>15</xdr:col>
      <xdr:colOff>26667</xdr:colOff>
      <xdr:row>26</xdr:row>
      <xdr:rowOff>9434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6690357" y="3985259"/>
          <a:ext cx="2480310" cy="72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lucratividade líquida do negócio?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20952</xdr:colOff>
      <xdr:row>22</xdr:row>
      <xdr:rowOff>9524</xdr:rowOff>
    </xdr:from>
    <xdr:to>
      <xdr:col>20</xdr:col>
      <xdr:colOff>76197</xdr:colOff>
      <xdr:row>26</xdr:row>
      <xdr:rowOff>3719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9774552" y="3990974"/>
          <a:ext cx="2493645" cy="71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Quanto valor adicional a empresa cria em relação aos custos de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produção?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21</xdr:col>
      <xdr:colOff>211452</xdr:colOff>
      <xdr:row>22</xdr:row>
      <xdr:rowOff>3809</xdr:rowOff>
    </xdr:from>
    <xdr:to>
      <xdr:col>25</xdr:col>
      <xdr:colOff>247647</xdr:colOff>
      <xdr:row>26</xdr:row>
      <xdr:rowOff>9434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13013052" y="3985259"/>
          <a:ext cx="2474595" cy="72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Quão eficientemente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empresa utiliza seus ativos para gerar lucro?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191703</xdr:colOff>
      <xdr:row>24</xdr:row>
      <xdr:rowOff>136458</xdr:rowOff>
    </xdr:from>
    <xdr:to>
      <xdr:col>5</xdr:col>
      <xdr:colOff>78558</xdr:colOff>
      <xdr:row>39</xdr:row>
      <xdr:rowOff>144693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393633</xdr:colOff>
      <xdr:row>24</xdr:row>
      <xdr:rowOff>143125</xdr:rowOff>
    </xdr:from>
    <xdr:to>
      <xdr:col>15</xdr:col>
      <xdr:colOff>293823</xdr:colOff>
      <xdr:row>39</xdr:row>
      <xdr:rowOff>143740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589848</xdr:colOff>
      <xdr:row>24</xdr:row>
      <xdr:rowOff>145030</xdr:rowOff>
    </xdr:from>
    <xdr:to>
      <xdr:col>25</xdr:col>
      <xdr:colOff>497658</xdr:colOff>
      <xdr:row>39</xdr:row>
      <xdr:rowOff>141835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285750</xdr:colOff>
      <xdr:row>24</xdr:row>
      <xdr:rowOff>153603</xdr:rowOff>
    </xdr:from>
    <xdr:to>
      <xdr:col>10</xdr:col>
      <xdr:colOff>189750</xdr:colOff>
      <xdr:row>39</xdr:row>
      <xdr:rowOff>133263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497205</xdr:colOff>
      <xdr:row>24</xdr:row>
      <xdr:rowOff>151698</xdr:rowOff>
    </xdr:from>
    <xdr:to>
      <xdr:col>20</xdr:col>
      <xdr:colOff>401205</xdr:colOff>
      <xdr:row>39</xdr:row>
      <xdr:rowOff>135168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16443</xdr:colOff>
      <xdr:row>43</xdr:row>
      <xdr:rowOff>63841</xdr:rowOff>
    </xdr:from>
    <xdr:to>
      <xdr:col>10</xdr:col>
      <xdr:colOff>555513</xdr:colOff>
      <xdr:row>54</xdr:row>
      <xdr:rowOff>152969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GrpSpPr/>
      </xdr:nvGrpSpPr>
      <xdr:grpSpPr>
        <a:xfrm>
          <a:off x="3064443" y="8021298"/>
          <a:ext cx="3587070" cy="2124757"/>
          <a:chOff x="2993958" y="8413457"/>
          <a:chExt cx="3575640" cy="2070420"/>
        </a:xfrm>
      </xdr:grpSpPr>
      <xdr:sp macro="" textlink="'Backend dashboard rentabilidade'!J125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SpPr txBox="1"/>
        </xdr:nvSpPr>
        <xdr:spPr>
          <a:xfrm>
            <a:off x="3489322" y="9773346"/>
            <a:ext cx="2518410" cy="4495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4716DD7-834E-48B5-AFA4-66F5E72BFC85}" type="TxLink">
              <a:rPr lang="en-US" sz="1600" b="0" i="0" u="none" strike="noStrike">
                <a:solidFill>
                  <a:srgbClr val="44546A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Dados Indisponíveis</a:t>
            </a:fld>
            <a:endParaRPr lang="pt-PT" sz="16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23" name="Gráfico 5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GraphicFramePr>
            <a:graphicFrameLocks/>
          </xdr:cNvGraphicFramePr>
        </xdr:nvGraphicFramePr>
        <xdr:xfrm>
          <a:off x="2993958" y="8413457"/>
          <a:ext cx="3575640" cy="20704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15</xdr:col>
      <xdr:colOff>321243</xdr:colOff>
      <xdr:row>43</xdr:row>
      <xdr:rowOff>91464</xdr:rowOff>
    </xdr:from>
    <xdr:to>
      <xdr:col>21</xdr:col>
      <xdr:colOff>250713</xdr:colOff>
      <xdr:row>54</xdr:row>
      <xdr:rowOff>165444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/>
      </xdr:nvGrpSpPr>
      <xdr:grpSpPr>
        <a:xfrm>
          <a:off x="9465243" y="8048921"/>
          <a:ext cx="3587070" cy="2109609"/>
          <a:chOff x="9411903" y="8416314"/>
          <a:chExt cx="3569925" cy="2072325"/>
        </a:xfrm>
      </xdr:grpSpPr>
      <xdr:sp macro="" textlink="'Backend dashboard rentabilidade'!J125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 txBox="1"/>
        </xdr:nvSpPr>
        <xdr:spPr>
          <a:xfrm>
            <a:off x="9925318" y="9751784"/>
            <a:ext cx="2524125" cy="451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4716DD7-834E-48B5-AFA4-66F5E72BFC85}" type="TxLink">
              <a:rPr lang="en-US" sz="1600" b="0" i="0" u="none" strike="noStrike">
                <a:solidFill>
                  <a:srgbClr val="44546A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Dados Indisponíveis</a:t>
            </a:fld>
            <a:endParaRPr lang="pt-PT" sz="16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31" name="Gráfico 5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GraphicFramePr>
            <a:graphicFrameLocks/>
          </xdr:cNvGraphicFramePr>
        </xdr:nvGraphicFramePr>
        <xdr:xfrm>
          <a:off x="9411903" y="8416314"/>
          <a:ext cx="3569925" cy="2072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20683</xdr:colOff>
      <xdr:row>43</xdr:row>
      <xdr:rowOff>29553</xdr:rowOff>
    </xdr:from>
    <xdr:to>
      <xdr:col>5</xdr:col>
      <xdr:colOff>536893</xdr:colOff>
      <xdr:row>58</xdr:row>
      <xdr:rowOff>128589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GrpSpPr/>
      </xdr:nvGrpSpPr>
      <xdr:grpSpPr>
        <a:xfrm>
          <a:off x="20683" y="7987010"/>
          <a:ext cx="3564210" cy="2874893"/>
          <a:chOff x="0" y="8002413"/>
          <a:chExt cx="3560400" cy="2830274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GrpSpPr/>
        </xdr:nvGrpSpPr>
        <xdr:grpSpPr>
          <a:xfrm>
            <a:off x="0" y="8002413"/>
            <a:ext cx="3560400" cy="2076135"/>
            <a:chOff x="0" y="8773938"/>
            <a:chExt cx="3560400" cy="2076135"/>
          </a:xfrm>
        </xdr:grpSpPr>
        <xdr:graphicFrame macro="">
          <xdr:nvGraphicFramePr>
            <xdr:cNvPr id="3" name="Gráfico 5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8773938"/>
            <a:ext cx="3560400" cy="20761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'Backend dashboard rentabilidade'!J90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:cNvPr>
            <xdr:cNvSpPr txBox="1"/>
          </xdr:nvSpPr>
          <xdr:spPr>
            <a:xfrm>
              <a:off x="473370" y="10107930"/>
              <a:ext cx="2518410" cy="4457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75A5525E-91B9-48EF-B988-0AFC9281A5C3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Forte</a:t>
              </a:fld>
              <a:endParaRPr lang="pt-PT" sz="28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89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SpPr txBox="1"/>
        </xdr:nvSpPr>
        <xdr:spPr>
          <a:xfrm>
            <a:off x="438150" y="9569672"/>
            <a:ext cx="2444115" cy="12630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700C64E-35E1-473E-A69B-4643F8978FDF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forte, figurando entre as 25% melhores da mesma dimensão.</a:t>
            </a:fld>
            <a:endParaRPr lang="pt-PT" sz="1100"/>
          </a:p>
        </xdr:txBody>
      </xdr:sp>
    </xdr:grpSp>
    <xdr:clientData/>
  </xdr:twoCellAnchor>
  <xdr:twoCellAnchor>
    <xdr:from>
      <xdr:col>10</xdr:col>
      <xdr:colOff>250758</xdr:colOff>
      <xdr:row>43</xdr:row>
      <xdr:rowOff>54316</xdr:rowOff>
    </xdr:from>
    <xdr:to>
      <xdr:col>16</xdr:col>
      <xdr:colOff>130698</xdr:colOff>
      <xdr:row>58</xdr:row>
      <xdr:rowOff>149541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GrpSpPr/>
      </xdr:nvGrpSpPr>
      <xdr:grpSpPr>
        <a:xfrm>
          <a:off x="6346758" y="8011773"/>
          <a:ext cx="3537540" cy="2871082"/>
          <a:chOff x="6278178" y="8002185"/>
          <a:chExt cx="3545160" cy="2807738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GrpSpPr/>
        </xdr:nvGrpSpPr>
        <xdr:grpSpPr>
          <a:xfrm>
            <a:off x="6278178" y="8002185"/>
            <a:ext cx="3545160" cy="2064705"/>
            <a:chOff x="6179179" y="8756559"/>
            <a:chExt cx="3552780" cy="2076135"/>
          </a:xfrm>
        </xdr:grpSpPr>
        <xdr:graphicFrame macro="">
          <xdr:nvGraphicFramePr>
            <xdr:cNvPr id="33" name="Gráfico 5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aphicFramePr>
              <a:graphicFrameLocks/>
            </xdr:cNvGraphicFramePr>
          </xdr:nvGraphicFramePr>
          <xdr:xfrm>
            <a:off x="6179179" y="8756559"/>
            <a:ext cx="3552780" cy="20761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'Backend dashboard rentabilidade'!J81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:cNvPr>
            <xdr:cNvSpPr txBox="1"/>
          </xdr:nvSpPr>
          <xdr:spPr>
            <a:xfrm>
              <a:off x="6649609" y="10052630"/>
              <a:ext cx="2543175" cy="44196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3C38858-63FA-49A8-AD50-1791F595B7DF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Forte</a:t>
              </a:fld>
              <a:endParaRPr lang="pt-PT" sz="16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82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SpPr txBox="1"/>
        </xdr:nvSpPr>
        <xdr:spPr>
          <a:xfrm>
            <a:off x="6764655" y="9546908"/>
            <a:ext cx="2455545" cy="12630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C67D882-3DEB-44A4-BC8D-CBDAAE85E6B5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forte, figurando entre as 25% melhores da mesma dimensão.</a:t>
            </a:fld>
            <a:endParaRPr lang="pt-PT" sz="1100"/>
          </a:p>
        </xdr:txBody>
      </xdr:sp>
    </xdr:grpSp>
    <xdr:clientData/>
  </xdr:twoCellAnchor>
  <xdr:twoCellAnchor>
    <xdr:from>
      <xdr:col>20</xdr:col>
      <xdr:colOff>429827</xdr:colOff>
      <xdr:row>43</xdr:row>
      <xdr:rowOff>125765</xdr:rowOff>
    </xdr:from>
    <xdr:to>
      <xdr:col>26</xdr:col>
      <xdr:colOff>317395</xdr:colOff>
      <xdr:row>59</xdr:row>
      <xdr:rowOff>97155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GrpSpPr/>
      </xdr:nvGrpSpPr>
      <xdr:grpSpPr>
        <a:xfrm>
          <a:off x="12621827" y="8083222"/>
          <a:ext cx="3545168" cy="2932304"/>
          <a:chOff x="12562732" y="7948523"/>
          <a:chExt cx="3560400" cy="2858542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GrpSpPr/>
        </xdr:nvGrpSpPr>
        <xdr:grpSpPr>
          <a:xfrm>
            <a:off x="12562732" y="7948523"/>
            <a:ext cx="3560400" cy="2055180"/>
            <a:chOff x="12429382" y="8716238"/>
            <a:chExt cx="3560400" cy="2055180"/>
          </a:xfrm>
        </xdr:grpSpPr>
        <xdr:graphicFrame macro="">
          <xdr:nvGraphicFramePr>
            <xdr:cNvPr id="35" name="Gráfico 5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:cNvPr>
            <xdr:cNvGraphicFramePr>
              <a:graphicFrameLocks/>
            </xdr:cNvGraphicFramePr>
          </xdr:nvGraphicFramePr>
          <xdr:xfrm>
            <a:off x="12429382" y="8716238"/>
            <a:ext cx="3560400" cy="205518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'Backend dashboard rentabilidade'!J99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:cNvPr>
            <xdr:cNvSpPr txBox="1"/>
          </xdr:nvSpPr>
          <xdr:spPr>
            <a:xfrm>
              <a:off x="12963753" y="10048388"/>
              <a:ext cx="2520315" cy="4495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E66628C-1F5F-4D7E-86D0-C049FB80E012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Moderadamente fraco</a:t>
              </a:fld>
              <a:endParaRPr lang="pt-PT" sz="16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99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 txBox="1"/>
        </xdr:nvSpPr>
        <xdr:spPr>
          <a:xfrm>
            <a:off x="13056870" y="9542145"/>
            <a:ext cx="2468880" cy="1264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99B52C9-BC79-4D55-ADCF-D07D8AA46CD8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moderadamente fraco, figurando entre as 50% piores da mesma dimensão.</a:t>
            </a:fld>
            <a:endParaRPr lang="pt-PT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325755</xdr:colOff>
      <xdr:row>14</xdr:row>
      <xdr:rowOff>150496</xdr:rowOff>
    </xdr:from>
    <xdr:to>
      <xdr:col>2</xdr:col>
      <xdr:colOff>2767965</xdr:colOff>
      <xdr:row>24</xdr:row>
      <xdr:rowOff>133350</xdr:rowOff>
    </xdr:to>
    <xdr:graphicFrame macro="">
      <xdr:nvGraphicFramePr>
        <xdr:cNvPr id="4" name="Gráfico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406716</xdr:colOff>
      <xdr:row>26</xdr:row>
      <xdr:rowOff>105727</xdr:rowOff>
    </xdr:from>
    <xdr:to>
      <xdr:col>4</xdr:col>
      <xdr:colOff>198120</xdr:colOff>
      <xdr:row>39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163967</xdr:colOff>
      <xdr:row>39</xdr:row>
      <xdr:rowOff>137159</xdr:rowOff>
    </xdr:from>
    <xdr:to>
      <xdr:col>19</xdr:col>
      <xdr:colOff>358367</xdr:colOff>
      <xdr:row>54</xdr:row>
      <xdr:rowOff>163124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170633</xdr:colOff>
      <xdr:row>47</xdr:row>
      <xdr:rowOff>168727</xdr:rowOff>
    </xdr:from>
    <xdr:to>
      <xdr:col>19</xdr:col>
      <xdr:colOff>365033</xdr:colOff>
      <xdr:row>64</xdr:row>
      <xdr:rowOff>15622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189684</xdr:colOff>
      <xdr:row>57</xdr:row>
      <xdr:rowOff>59328</xdr:rowOff>
    </xdr:from>
    <xdr:to>
      <xdr:col>19</xdr:col>
      <xdr:colOff>384084</xdr:colOff>
      <xdr:row>73</xdr:row>
      <xdr:rowOff>85293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135391</xdr:colOff>
      <xdr:row>66</xdr:row>
      <xdr:rowOff>54701</xdr:rowOff>
    </xdr:from>
    <xdr:to>
      <xdr:col>19</xdr:col>
      <xdr:colOff>329791</xdr:colOff>
      <xdr:row>82</xdr:row>
      <xdr:rowOff>78761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207781</xdr:colOff>
      <xdr:row>75</xdr:row>
      <xdr:rowOff>133895</xdr:rowOff>
    </xdr:from>
    <xdr:to>
      <xdr:col>19</xdr:col>
      <xdr:colOff>402181</xdr:colOff>
      <xdr:row>91</xdr:row>
      <xdr:rowOff>150335</xdr:rowOff>
    </xdr:to>
    <xdr:graphicFrame macro="">
      <xdr:nvGraphicFramePr>
        <xdr:cNvPr id="7" name="Gráfico 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211591</xdr:colOff>
      <xdr:row>84</xdr:row>
      <xdr:rowOff>131174</xdr:rowOff>
    </xdr:from>
    <xdr:to>
      <xdr:col>19</xdr:col>
      <xdr:colOff>405991</xdr:colOff>
      <xdr:row>100</xdr:row>
      <xdr:rowOff>145709</xdr:rowOff>
    </xdr:to>
    <xdr:graphicFrame macro="">
      <xdr:nvGraphicFramePr>
        <xdr:cNvPr id="9" name="Gráfico 5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202066</xdr:colOff>
      <xdr:row>93</xdr:row>
      <xdr:rowOff>126548</xdr:rowOff>
    </xdr:from>
    <xdr:to>
      <xdr:col>19</xdr:col>
      <xdr:colOff>396466</xdr:colOff>
      <xdr:row>109</xdr:row>
      <xdr:rowOff>142988</xdr:rowOff>
    </xdr:to>
    <xdr:graphicFrame macro="">
      <xdr:nvGraphicFramePr>
        <xdr:cNvPr id="11" name="Gráfico 5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191197</xdr:colOff>
      <xdr:row>114</xdr:row>
      <xdr:rowOff>87406</xdr:rowOff>
    </xdr:from>
    <xdr:to>
      <xdr:col>18</xdr:col>
      <xdr:colOff>385597</xdr:colOff>
      <xdr:row>129</xdr:row>
      <xdr:rowOff>142171</xdr:rowOff>
    </xdr:to>
    <xdr:graphicFrame macro="">
      <xdr:nvGraphicFramePr>
        <xdr:cNvPr id="14" name="Gráfico 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381000</xdr:colOff>
      <xdr:row>37</xdr:row>
      <xdr:rowOff>133350</xdr:rowOff>
    </xdr:from>
    <xdr:to>
      <xdr:col>22</xdr:col>
      <xdr:colOff>285000</xdr:colOff>
      <xdr:row>53</xdr:row>
      <xdr:rowOff>76815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228599</xdr:colOff>
      <xdr:row>48</xdr:row>
      <xdr:rowOff>1</xdr:rowOff>
    </xdr:from>
    <xdr:to>
      <xdr:col>22</xdr:col>
      <xdr:colOff>132599</xdr:colOff>
      <xdr:row>64</xdr:row>
      <xdr:rowOff>132061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152400</xdr:colOff>
      <xdr:row>56</xdr:row>
      <xdr:rowOff>171450</xdr:rowOff>
    </xdr:from>
    <xdr:to>
      <xdr:col>22</xdr:col>
      <xdr:colOff>56400</xdr:colOff>
      <xdr:row>73</xdr:row>
      <xdr:rowOff>114915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152400</xdr:colOff>
      <xdr:row>66</xdr:row>
      <xdr:rowOff>24765</xdr:rowOff>
    </xdr:from>
    <xdr:to>
      <xdr:col>22</xdr:col>
      <xdr:colOff>56400</xdr:colOff>
      <xdr:row>82</xdr:row>
      <xdr:rowOff>154920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209550</xdr:colOff>
      <xdr:row>75</xdr:row>
      <xdr:rowOff>38099</xdr:rowOff>
    </xdr:from>
    <xdr:to>
      <xdr:col>22</xdr:col>
      <xdr:colOff>113550</xdr:colOff>
      <xdr:row>91</xdr:row>
      <xdr:rowOff>170159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211016</xdr:colOff>
      <xdr:row>92</xdr:row>
      <xdr:rowOff>1320</xdr:rowOff>
    </xdr:from>
    <xdr:to>
      <xdr:col>22</xdr:col>
      <xdr:colOff>115016</xdr:colOff>
      <xdr:row>108</xdr:row>
      <xdr:rowOff>136017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25</xdr:col>
      <xdr:colOff>137160</xdr:colOff>
      <xdr:row>109</xdr:row>
      <xdr:rowOff>47625</xdr:rowOff>
    </xdr:from>
    <xdr:to>
      <xdr:col>30</xdr:col>
      <xdr:colOff>41160</xdr:colOff>
      <xdr:row>126</xdr:row>
      <xdr:rowOff>46335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190500</xdr:colOff>
      <xdr:row>102</xdr:row>
      <xdr:rowOff>133350</xdr:rowOff>
    </xdr:from>
    <xdr:to>
      <xdr:col>22</xdr:col>
      <xdr:colOff>94500</xdr:colOff>
      <xdr:row>118</xdr:row>
      <xdr:rowOff>88245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45</xdr:col>
      <xdr:colOff>17145</xdr:colOff>
      <xdr:row>52</xdr:row>
      <xdr:rowOff>153352</xdr:rowOff>
    </xdr:from>
    <xdr:to>
      <xdr:col>48</xdr:col>
      <xdr:colOff>857250</xdr:colOff>
      <xdr:row>69</xdr:row>
      <xdr:rowOff>115252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44</xdr:col>
      <xdr:colOff>549592</xdr:colOff>
      <xdr:row>36</xdr:row>
      <xdr:rowOff>58102</xdr:rowOff>
    </xdr:from>
    <xdr:to>
      <xdr:col>49</xdr:col>
      <xdr:colOff>783907</xdr:colOff>
      <xdr:row>52</xdr:row>
      <xdr:rowOff>18097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170330</xdr:colOff>
      <xdr:row>114</xdr:row>
      <xdr:rowOff>161364</xdr:rowOff>
    </xdr:from>
    <xdr:to>
      <xdr:col>18</xdr:col>
      <xdr:colOff>224118</xdr:colOff>
      <xdr:row>135</xdr:row>
      <xdr:rowOff>80682</xdr:rowOff>
    </xdr:to>
    <xdr:graphicFrame macro="">
      <xdr:nvGraphicFramePr>
        <xdr:cNvPr id="10" name="Gráfico 5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316230</xdr:colOff>
      <xdr:row>8</xdr:row>
      <xdr:rowOff>114300</xdr:rowOff>
    </xdr:from>
    <xdr:ext cx="18473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2145030" y="156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29</xdr:col>
      <xdr:colOff>0</xdr:colOff>
      <xdr:row>4</xdr:row>
      <xdr:rowOff>65721</xdr:rowOff>
    </xdr:from>
    <xdr:to>
      <xdr:col>34</xdr:col>
      <xdr:colOff>531495</xdr:colOff>
      <xdr:row>22</xdr:row>
      <xdr:rowOff>75246</xdr:rowOff>
    </xdr:to>
    <xdr:graphicFrame macro="">
      <xdr:nvGraphicFramePr>
        <xdr:cNvPr id="58" name="Gráfico 5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597151</xdr:colOff>
      <xdr:row>20</xdr:row>
      <xdr:rowOff>7698</xdr:rowOff>
    </xdr:from>
    <xdr:to>
      <xdr:col>44</xdr:col>
      <xdr:colOff>127051</xdr:colOff>
      <xdr:row>30</xdr:row>
      <xdr:rowOff>20001</xdr:rowOff>
    </xdr:to>
    <xdr:sp macro="" textlink="'backend dashboard'!N13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6985866" y="3629103"/>
          <a:ext cx="2680770" cy="18163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wrap="square" rtlCol="0" anchor="ctr" anchorCtr="1"/>
        <a:lstStyle/>
        <a:p>
          <a:fld id="{77967420-FAF2-4A71-BBCD-210FD790E1D5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Em comparação com a média móvel do setor dos últimos 5 anos do indicador Margem Bruta, o desempenho da empresa no mesmo intervalo foi forte, figurando entre as 25% melhores.</a:t>
          </a:fld>
          <a:endParaRPr lang="pt-PT" sz="11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0</xdr:colOff>
      <xdr:row>37</xdr:row>
      <xdr:rowOff>65721</xdr:rowOff>
    </xdr:from>
    <xdr:to>
      <xdr:col>18</xdr:col>
      <xdr:colOff>531495</xdr:colOff>
      <xdr:row>55</xdr:row>
      <xdr:rowOff>75246</xdr:rowOff>
    </xdr:to>
    <xdr:graphicFrame macro="">
      <xdr:nvGraphicFramePr>
        <xdr:cNvPr id="96" name="Gráfico 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597151</xdr:colOff>
      <xdr:row>53</xdr:row>
      <xdr:rowOff>7698</xdr:rowOff>
    </xdr:from>
    <xdr:to>
      <xdr:col>44</xdr:col>
      <xdr:colOff>127051</xdr:colOff>
      <xdr:row>63</xdr:row>
      <xdr:rowOff>20001</xdr:rowOff>
    </xdr:to>
    <xdr:sp macro="" textlink="'backend dashboard'!N13">
      <xdr:nvSpPr>
        <xdr:cNvPr id="119" name="TextBox 118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SpPr txBox="1"/>
      </xdr:nvSpPr>
      <xdr:spPr>
        <a:xfrm>
          <a:off x="16947766" y="3629103"/>
          <a:ext cx="2680770" cy="18163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wrap="square" rtlCol="0" anchor="ctr" anchorCtr="1"/>
        <a:lstStyle/>
        <a:p>
          <a:fld id="{77967420-FAF2-4A71-BBCD-210FD790E1D5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Em comparação com a média móvel do setor dos últimos 5 anos do indicador Margem Bruta, o desempenho da empresa no mesmo intervalo foi forte, figurando entre as 25% melhores.</a:t>
          </a:fld>
          <a:endParaRPr lang="pt-PT" sz="11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44823</xdr:colOff>
      <xdr:row>0</xdr:row>
      <xdr:rowOff>57710</xdr:rowOff>
    </xdr:from>
    <xdr:to>
      <xdr:col>15</xdr:col>
      <xdr:colOff>5713</xdr:colOff>
      <xdr:row>32</xdr:row>
      <xdr:rowOff>164307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pSpPr/>
      </xdr:nvGrpSpPr>
      <xdr:grpSpPr>
        <a:xfrm>
          <a:off x="44823" y="57710"/>
          <a:ext cx="9239361" cy="5844009"/>
          <a:chOff x="0" y="-9033"/>
          <a:chExt cx="9245810" cy="5888339"/>
        </a:xfrm>
      </xdr:grpSpPr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00000000-0008-0000-0C00-000079000000}"/>
              </a:ext>
            </a:extLst>
          </xdr:cNvPr>
          <xdr:cNvGrpSpPr/>
        </xdr:nvGrpSpPr>
        <xdr:grpSpPr>
          <a:xfrm>
            <a:off x="0" y="-9033"/>
            <a:ext cx="9245810" cy="5888339"/>
            <a:chOff x="0" y="28888"/>
            <a:chExt cx="9994039" cy="5694685"/>
          </a:xfrm>
        </xdr:grpSpPr>
        <xdr:grpSp>
          <xdr:nvGrpSpPr>
            <xdr:cNvPr id="100" name="Group 99">
              <a:extLst>
                <a:ext uri="{FF2B5EF4-FFF2-40B4-BE49-F238E27FC236}">
                  <a16:creationId xmlns:a16="http://schemas.microsoft.com/office/drawing/2014/main" id="{00000000-0008-0000-0C00-000064000000}"/>
                </a:ext>
              </a:extLst>
            </xdr:cNvPr>
            <xdr:cNvGrpSpPr/>
          </xdr:nvGrpSpPr>
          <xdr:grpSpPr>
            <a:xfrm>
              <a:off x="0" y="28888"/>
              <a:ext cx="9994039" cy="5694685"/>
              <a:chOff x="0" y="28888"/>
              <a:chExt cx="10035974" cy="5694685"/>
            </a:xfrm>
          </xdr:grpSpPr>
          <xdr:pic>
            <xdr:nvPicPr>
              <xdr:cNvPr id="4" name="Imagem 3">
                <a:extLst>
                  <a:ext uri="{FF2B5EF4-FFF2-40B4-BE49-F238E27FC236}">
                    <a16:creationId xmlns:a16="http://schemas.microsoft.com/office/drawing/2014/main" id="{00000000-0008-0000-0C00-00000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64469" y="28888"/>
                <a:ext cx="2600324" cy="818135"/>
              </a:xfrm>
              <a:prstGeom prst="rect">
                <a:avLst/>
              </a:prstGeom>
            </xdr:spPr>
          </xdr:pic>
          <xdr:sp macro="" textlink="'Rúbricas BP Todas as dimensões'!$B$6">
            <xdr:nvSpPr>
              <xdr:cNvPr id="8" name="Retângulo: Cantos Arredondados 7">
                <a:extLst>
                  <a:ext uri="{FF2B5EF4-FFF2-40B4-BE49-F238E27FC236}">
                    <a16:creationId xmlns:a16="http://schemas.microsoft.com/office/drawing/2014/main" id="{00000000-0008-0000-0C00-000008000000}"/>
                  </a:ext>
                </a:extLst>
              </xdr:cNvPr>
              <xdr:cNvSpPr/>
            </xdr:nvSpPr>
            <xdr:spPr>
              <a:xfrm>
                <a:off x="6617523" y="300269"/>
                <a:ext cx="3135631" cy="285225"/>
              </a:xfrm>
              <a:prstGeom prst="roundRect">
                <a:avLst>
                  <a:gd name="adj" fmla="val 16666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l"/>
                <a:fld id="{1D751634-FF05-441E-B783-F2C32B1AC2FC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l"/>
                  <a:t>Ativo</a:t>
                </a:fld>
                <a:endParaRPr lang="pt-PT" sz="1100">
                  <a:solidFill>
                    <a:schemeClr val="tx2"/>
                  </a:solidFill>
                </a:endParaRPr>
              </a:p>
            </xdr:txBody>
          </xdr:sp>
          <xdr:sp macro="" textlink="">
            <xdr:nvSpPr>
              <xdr:cNvPr id="9" name="CaixaDeTexto 8">
                <a:extLst>
                  <a:ext uri="{FF2B5EF4-FFF2-40B4-BE49-F238E27FC236}">
                    <a16:creationId xmlns:a16="http://schemas.microsoft.com/office/drawing/2014/main" id="{00000000-0008-0000-0C00-000009000000}"/>
                  </a:ext>
                </a:extLst>
              </xdr:cNvPr>
              <xdr:cNvSpPr txBox="1"/>
            </xdr:nvSpPr>
            <xdr:spPr>
              <a:xfrm>
                <a:off x="3129915" y="313385"/>
                <a:ext cx="3013710" cy="27423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 anchorCtr="1">
                <a:noAutofit/>
              </a:bodyPr>
              <a:lstStyle/>
              <a:p>
                <a:pPr marL="0" indent="0"/>
                <a:r>
                  <a:rPr lang="pt-PT" sz="1600" baseline="0">
                    <a:solidFill>
                      <a:schemeClr val="accent2"/>
                    </a:solidFill>
                    <a:latin typeface="+mn-lt"/>
                    <a:ea typeface="+mn-ea"/>
                    <a:cs typeface="Segoe UI" panose="020B0502040204020203" pitchFamily="34" charset="0"/>
                  </a:rPr>
                  <a:t>Rentabilidade de negócio</a:t>
                </a:r>
              </a:p>
            </xdr:txBody>
          </xdr:sp>
          <xdr:sp macro="" textlink="">
            <xdr:nvSpPr>
              <xdr:cNvPr id="26" name="Retângulo: Cantos Arredondados 25">
                <a:extLst>
                  <a:ext uri="{FF2B5EF4-FFF2-40B4-BE49-F238E27FC236}">
                    <a16:creationId xmlns:a16="http://schemas.microsoft.com/office/drawing/2014/main" id="{00000000-0008-0000-0C00-00001A000000}"/>
                  </a:ext>
                </a:extLst>
              </xdr:cNvPr>
              <xdr:cNvSpPr/>
            </xdr:nvSpPr>
            <xdr:spPr>
              <a:xfrm>
                <a:off x="6418393" y="3565208"/>
                <a:ext cx="3595744" cy="2158365"/>
              </a:xfrm>
              <a:prstGeom prst="roundRect">
                <a:avLst/>
              </a:prstGeom>
              <a:solidFill>
                <a:schemeClr val="accent5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'backend dashboard'!D38">
            <xdr:nvSpPr>
              <xdr:cNvPr id="3" name="TextBox 2">
                <a:extLst>
                  <a:ext uri="{FF2B5EF4-FFF2-40B4-BE49-F238E27FC236}">
                    <a16:creationId xmlns:a16="http://schemas.microsoft.com/office/drawing/2014/main" id="{00000000-0008-0000-0C00-000003000000}"/>
                  </a:ext>
                </a:extLst>
              </xdr:cNvPr>
              <xdr:cNvSpPr txBox="1"/>
            </xdr:nvSpPr>
            <xdr:spPr>
              <a:xfrm>
                <a:off x="3706178" y="601981"/>
                <a:ext cx="1864995" cy="23622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261F1146-6F38-4DA9-A9A7-41CEE36759FE}" type="TxLink">
                  <a:rPr lang="en-US" sz="1100" b="0" i="0" u="none" strike="noStrike">
                    <a:solidFill>
                      <a:srgbClr val="44546A"/>
                    </a:solidFill>
                    <a:latin typeface="Segoe UI"/>
                    <a:cs typeface="Segoe UI"/>
                  </a:rPr>
                  <a:pPr algn="ctr"/>
                  <a:t>Margem Bruta</a:t>
                </a:fld>
                <a:endParaRPr lang="pt-PT" sz="1100"/>
              </a:p>
            </xdr:txBody>
          </xdr:sp>
          <xdr:sp macro="" textlink="">
            <xdr:nvSpPr>
              <xdr:cNvPr id="11" name="Retângulo: Cantos Arredondados 9">
                <a:extLst>
                  <a:ext uri="{FF2B5EF4-FFF2-40B4-BE49-F238E27FC236}">
                    <a16:creationId xmlns:a16="http://schemas.microsoft.com/office/drawing/2014/main" id="{00000000-0008-0000-0C00-00000B000000}"/>
                  </a:ext>
                </a:extLst>
              </xdr:cNvPr>
              <xdr:cNvSpPr/>
            </xdr:nvSpPr>
            <xdr:spPr>
              <a:xfrm>
                <a:off x="205740" y="1171112"/>
                <a:ext cx="3126105" cy="2205990"/>
              </a:xfrm>
              <a:prstGeom prst="roundRect">
                <a:avLst/>
              </a:prstGeom>
              <a:solidFill>
                <a:srgbClr val="F3F3F3"/>
              </a:solidFill>
              <a:ln>
                <a:noFill/>
              </a:ln>
            </xdr:spPr>
            <xdr:style>
              <a:lnRef idx="2">
                <a:schemeClr val="accent5">
                  <a:shade val="50000"/>
                </a:schemeClr>
              </a:lnRef>
              <a:fillRef idx="1">
                <a:schemeClr val="accent5"/>
              </a:fillRef>
              <a:effectRef idx="0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6" name="Group 15">
                <a:extLst>
                  <a:ext uri="{FF2B5EF4-FFF2-40B4-BE49-F238E27FC236}">
                    <a16:creationId xmlns:a16="http://schemas.microsoft.com/office/drawing/2014/main" id="{00000000-0008-0000-0C00-000010000000}"/>
                  </a:ext>
                </a:extLst>
              </xdr:cNvPr>
              <xdr:cNvGrpSpPr/>
            </xdr:nvGrpSpPr>
            <xdr:grpSpPr>
              <a:xfrm>
                <a:off x="173355" y="3531869"/>
                <a:ext cx="6048373" cy="2177384"/>
                <a:chOff x="38100" y="1038195"/>
                <a:chExt cx="5943598" cy="2533649"/>
              </a:xfrm>
            </xdr:grpSpPr>
            <xdr:sp macro="" textlink="">
              <xdr:nvSpPr>
                <xdr:cNvPr id="10" name="Retângulo: Cantos Arredondados 9">
                  <a:extLst>
                    <a:ext uri="{FF2B5EF4-FFF2-40B4-BE49-F238E27FC236}">
                      <a16:creationId xmlns:a16="http://schemas.microsoft.com/office/drawing/2014/main" id="{00000000-0008-0000-0C00-00000A000000}"/>
                    </a:ext>
                  </a:extLst>
                </xdr:cNvPr>
                <xdr:cNvSpPr/>
              </xdr:nvSpPr>
              <xdr:spPr>
                <a:xfrm>
                  <a:off x="38100" y="1038195"/>
                  <a:ext cx="5943598" cy="2533649"/>
                </a:xfrm>
                <a:prstGeom prst="roundRect">
                  <a:avLst/>
                </a:prstGeom>
                <a:solidFill>
                  <a:srgbClr val="F3F3F3"/>
                </a:solidFill>
                <a:ln>
                  <a:noFill/>
                </a:ln>
              </xdr:spPr>
              <xdr:style>
                <a:lnRef idx="2">
                  <a:schemeClr val="accent5">
                    <a:shade val="50000"/>
                  </a:schemeClr>
                </a:lnRef>
                <a:fillRef idx="1">
                  <a:schemeClr val="accent5"/>
                </a:fillRef>
                <a:effectRef idx="0">
                  <a:schemeClr val="accent5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43" name="Gráfico 42">
                  <a:extLst>
                    <a:ext uri="{FF2B5EF4-FFF2-40B4-BE49-F238E27FC236}">
                      <a16:creationId xmlns:a16="http://schemas.microsoft.com/office/drawing/2014/main" id="{00000000-0008-0000-0C00-00002B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2390" y="1443990"/>
                <a:ext cx="5568315" cy="164782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  <xdr:sp macro="" textlink="'backend dashboard'!D38">
              <xdr:nvSpPr>
                <xdr:cNvPr id="5" name="TextBox 4">
                  <a:extLst>
                    <a:ext uri="{FF2B5EF4-FFF2-40B4-BE49-F238E27FC236}">
                      <a16:creationId xmlns:a16="http://schemas.microsoft.com/office/drawing/2014/main" id="{00000000-0008-0000-0C00-000005000000}"/>
                    </a:ext>
                  </a:extLst>
                </xdr:cNvPr>
                <xdr:cNvSpPr txBox="1"/>
              </xdr:nvSpPr>
              <xdr:spPr>
                <a:xfrm>
                  <a:off x="1811658" y="1133475"/>
                  <a:ext cx="2284092" cy="356234"/>
                </a:xfrm>
                <a:prstGeom prst="rect">
                  <a:avLst/>
                </a:prstGeom>
                <a:solidFill>
                  <a:schemeClr val="accent6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fld id="{036CCAB1-6F57-484F-8D7C-017C3A8B5DFA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Margem Bruta</a:t>
                  </a:fld>
                  <a:endParaRPr lang="pt-PT" sz="1100"/>
                </a:p>
              </xdr:txBody>
            </xdr:sp>
          </xdr:grpSp>
          <xdr:graphicFrame macro="">
            <xdr:nvGraphicFramePr>
              <xdr:cNvPr id="2" name="Gráfico 5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0" y="864869"/>
              <a:ext cx="3674745" cy="32670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7" name="Retângulo: Cantos Arredondados 25">
                <a:extLst>
                  <a:ext uri="{FF2B5EF4-FFF2-40B4-BE49-F238E27FC236}">
                    <a16:creationId xmlns:a16="http://schemas.microsoft.com/office/drawing/2014/main" id="{00000000-0008-0000-0C00-000007000000}"/>
                  </a:ext>
                </a:extLst>
              </xdr:cNvPr>
              <xdr:cNvSpPr/>
            </xdr:nvSpPr>
            <xdr:spPr>
              <a:xfrm>
                <a:off x="3585493" y="1191593"/>
                <a:ext cx="6450481" cy="2159030"/>
              </a:xfrm>
              <a:prstGeom prst="roundRect">
                <a:avLst/>
              </a:prstGeom>
              <a:solidFill>
                <a:srgbClr val="F3F3F3"/>
              </a:solidFill>
              <a:ln>
                <a:noFill/>
              </a:ln>
            </xdr:spPr>
            <xdr:style>
              <a:lnRef idx="2">
                <a:schemeClr val="accent5">
                  <a:shade val="50000"/>
                </a:schemeClr>
              </a:lnRef>
              <a:fillRef idx="1">
                <a:schemeClr val="accent5"/>
              </a:fillRef>
              <a:effectRef idx="0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PT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'backend dashboard'!N13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00000000-0008-0000-0C00-00000F000000}"/>
                  </a:ext>
                </a:extLst>
              </xdr:cNvPr>
              <xdr:cNvSpPr txBox="1"/>
            </xdr:nvSpPr>
            <xdr:spPr>
              <a:xfrm>
                <a:off x="6883651" y="3702446"/>
                <a:ext cx="2673150" cy="182205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3"/>
              </a:fontRef>
            </xdr:style>
            <xdr:txBody>
              <a:bodyPr vertOverflow="clip" horzOverflow="clip" wrap="square" rtlCol="0" anchor="ctr" anchorCtr="1"/>
              <a:lstStyle/>
              <a:p>
                <a:fld id="{77967420-FAF2-4A71-BBCD-210FD790E1D5}" type="TxLink">
                  <a:rPr lang="en-US" sz="11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/>
                  <a:t>Em comparação com a média móvel do setor dos últimos 5 anos do indicador Margem Bruta, o desempenho da empresa no mesmo intervalo foi forte, figurando entre as 25% melhores.</a:t>
                </a:fld>
                <a:endParaRPr lang="pt-PT" sz="1100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'backend dashboard'!E18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0C00-000078000000}"/>
                </a:ext>
              </a:extLst>
            </xdr:cNvPr>
            <xdr:cNvSpPr txBox="1"/>
          </xdr:nvSpPr>
          <xdr:spPr>
            <a:xfrm>
              <a:off x="455295" y="2763679"/>
              <a:ext cx="2487930" cy="4743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EB55653-A782-4DEC-97A2-246DD2352072}" type="TxLink">
                <a:rPr lang="en-US" sz="1100" b="0" i="0" u="none" strike="noStrike">
                  <a:solidFill>
                    <a:schemeClr val="tx2"/>
                  </a:solidFill>
                  <a:latin typeface="Calibri"/>
                  <a:cs typeface="Calibri"/>
                </a:rPr>
                <a:pPr algn="ctr"/>
                <a:t>Forte</a:t>
              </a:fld>
              <a:endParaRPr lang="pt-PT" sz="1100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00000000-0008-0000-0C00-000046000000}"/>
              </a:ext>
            </a:extLst>
          </xdr:cNvPr>
          <xdr:cNvGrpSpPr/>
        </xdr:nvGrpSpPr>
        <xdr:grpSpPr>
          <a:xfrm>
            <a:off x="3831127" y="1770252"/>
            <a:ext cx="5384784" cy="412420"/>
            <a:chOff x="3945351" y="2188753"/>
            <a:chExt cx="5382859" cy="406585"/>
          </a:xfrm>
        </xdr:grpSpPr>
        <xdr:sp macro="" textlink="'backend dashboard'!E41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C00-000040000000}"/>
                </a:ext>
              </a:extLst>
            </xdr:cNvPr>
            <xdr:cNvSpPr txBox="1"/>
          </xdr:nvSpPr>
          <xdr:spPr>
            <a:xfrm>
              <a:off x="3945351" y="2205309"/>
              <a:ext cx="973059" cy="3734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ED03A989-CCCC-4990-995A-D6543546197C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pPr marL="0" indent="0" algn="ctr"/>
                <a:t>#DIV/0!</a:t>
              </a:fld>
              <a:endParaRPr lang="pt-PT" sz="1800" b="1" i="0" u="none" strike="noStrike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</xdr:txBody>
        </xdr:sp>
        <xdr:sp macro="" textlink="'backend dashboard'!F41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C00-000041000000}"/>
                </a:ext>
              </a:extLst>
            </xdr:cNvPr>
            <xdr:cNvSpPr txBox="1"/>
          </xdr:nvSpPr>
          <xdr:spPr>
            <a:xfrm>
              <a:off x="5024660" y="2207254"/>
              <a:ext cx="975099" cy="3695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3F73059-55BB-40F4-B45D-4D0374CC757F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18.33%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G41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C00-000042000000}"/>
                </a:ext>
              </a:extLst>
            </xdr:cNvPr>
            <xdr:cNvSpPr txBox="1"/>
          </xdr:nvSpPr>
          <xdr:spPr>
            <a:xfrm>
              <a:off x="6106011" y="2193010"/>
              <a:ext cx="1005040" cy="3980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815739C-6E53-4B88-A394-DC1500015C30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23.05%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H41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C00-000043000000}"/>
                </a:ext>
              </a:extLst>
            </xdr:cNvPr>
            <xdr:cNvSpPr txBox="1"/>
          </xdr:nvSpPr>
          <xdr:spPr>
            <a:xfrm>
              <a:off x="7284004" y="2206400"/>
              <a:ext cx="968978" cy="37129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ECE1DCC-A1A4-473B-B8C6-1D075D2EF95D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14.08%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I41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C00-000044000000}"/>
                </a:ext>
              </a:extLst>
            </xdr:cNvPr>
            <xdr:cNvSpPr txBox="1"/>
          </xdr:nvSpPr>
          <xdr:spPr>
            <a:xfrm>
              <a:off x="8359232" y="2188753"/>
              <a:ext cx="968978" cy="4065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EDD9C42C-61C4-42E6-8E82-90BD1C250E36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24.60%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C00-000048000000}"/>
              </a:ext>
            </a:extLst>
          </xdr:cNvPr>
          <xdr:cNvSpPr txBox="1"/>
        </xdr:nvSpPr>
        <xdr:spPr>
          <a:xfrm>
            <a:off x="3956117" y="1382019"/>
            <a:ext cx="4636770" cy="505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>
                <a:latin typeface="Segoe UI" panose="020B0502040204020203" pitchFamily="34" charset="0"/>
                <a:cs typeface="Segoe UI" panose="020B0502040204020203" pitchFamily="34" charset="0"/>
              </a:rPr>
              <a:t>Diferença</a:t>
            </a:r>
            <a:r>
              <a:rPr lang="pt-PT" sz="1200" baseline="0">
                <a:latin typeface="Segoe UI" panose="020B0502040204020203" pitchFamily="34" charset="0"/>
                <a:cs typeface="Segoe UI" panose="020B0502040204020203" pitchFamily="34" charset="0"/>
              </a:rPr>
              <a:t> entre o desempenho da empresa e a média do setor</a:t>
            </a: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00000000-0008-0000-0C00-000049000000}"/>
              </a:ext>
            </a:extLst>
          </xdr:cNvPr>
          <xdr:cNvGraphicFramePr>
            <a:graphicFrameLocks/>
          </xdr:cNvGraphicFramePr>
        </xdr:nvGraphicFramePr>
        <xdr:xfrm>
          <a:off x="3374613" y="2072594"/>
          <a:ext cx="5815011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6</xdr:col>
      <xdr:colOff>133350</xdr:colOff>
      <xdr:row>8</xdr:row>
      <xdr:rowOff>173022</xdr:rowOff>
    </xdr:from>
    <xdr:to>
      <xdr:col>7</xdr:col>
      <xdr:colOff>76200</xdr:colOff>
      <xdr:row>10</xdr:row>
      <xdr:rowOff>16192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 txBox="1"/>
      </xdr:nvSpPr>
      <xdr:spPr>
        <a:xfrm>
          <a:off x="3924300" y="1620822"/>
          <a:ext cx="552450" cy="205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2017</a:t>
          </a:r>
        </a:p>
      </xdr:txBody>
    </xdr:sp>
    <xdr:clientData/>
  </xdr:twoCellAnchor>
  <xdr:twoCellAnchor>
    <xdr:from>
      <xdr:col>7</xdr:col>
      <xdr:colOff>605011</xdr:colOff>
      <xdr:row>8</xdr:row>
      <xdr:rowOff>169212</xdr:rowOff>
    </xdr:from>
    <xdr:to>
      <xdr:col>8</xdr:col>
      <xdr:colOff>541201</xdr:colOff>
      <xdr:row>10</xdr:row>
      <xdr:rowOff>20002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 txBox="1"/>
      </xdr:nvSpPr>
      <xdr:spPr>
        <a:xfrm>
          <a:off x="5005561" y="1617012"/>
          <a:ext cx="545790" cy="212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2018</a:t>
          </a:r>
        </a:p>
      </xdr:txBody>
    </xdr:sp>
    <xdr:clientData/>
  </xdr:twoCellAnchor>
  <xdr:twoCellAnchor>
    <xdr:from>
      <xdr:col>9</xdr:col>
      <xdr:colOff>460412</xdr:colOff>
      <xdr:row>8</xdr:row>
      <xdr:rowOff>173974</xdr:rowOff>
    </xdr:from>
    <xdr:to>
      <xdr:col>10</xdr:col>
      <xdr:colOff>398507</xdr:colOff>
      <xdr:row>10</xdr:row>
      <xdr:rowOff>17144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 txBox="1"/>
      </xdr:nvSpPr>
      <xdr:spPr>
        <a:xfrm>
          <a:off x="6080162" y="1621774"/>
          <a:ext cx="547695" cy="205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2019</a:t>
          </a:r>
        </a:p>
      </xdr:txBody>
    </xdr:sp>
    <xdr:clientData/>
  </xdr:twoCellAnchor>
  <xdr:twoCellAnchor>
    <xdr:from>
      <xdr:col>11</xdr:col>
      <xdr:colOff>317718</xdr:colOff>
      <xdr:row>8</xdr:row>
      <xdr:rowOff>169212</xdr:rowOff>
    </xdr:from>
    <xdr:to>
      <xdr:col>12</xdr:col>
      <xdr:colOff>248429</xdr:colOff>
      <xdr:row>10</xdr:row>
      <xdr:rowOff>20002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 txBox="1"/>
      </xdr:nvSpPr>
      <xdr:spPr>
        <a:xfrm>
          <a:off x="7156668" y="1617012"/>
          <a:ext cx="540311" cy="212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2020</a:t>
          </a:r>
        </a:p>
      </xdr:txBody>
    </xdr:sp>
    <xdr:clientData/>
  </xdr:twoCellAnchor>
  <xdr:twoCellAnchor>
    <xdr:from>
      <xdr:col>13</xdr:col>
      <xdr:colOff>171450</xdr:colOff>
      <xdr:row>8</xdr:row>
      <xdr:rowOff>171450</xdr:rowOff>
    </xdr:from>
    <xdr:to>
      <xdr:col>14</xdr:col>
      <xdr:colOff>114300</xdr:colOff>
      <xdr:row>10</xdr:row>
      <xdr:rowOff>18097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 txBox="1"/>
      </xdr:nvSpPr>
      <xdr:spPr>
        <a:xfrm>
          <a:off x="8229600" y="1619250"/>
          <a:ext cx="552450" cy="208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2021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959166</xdr:colOff>
      <xdr:row>42</xdr:row>
      <xdr:rowOff>60007</xdr:rowOff>
    </xdr:from>
    <xdr:to>
      <xdr:col>9</xdr:col>
      <xdr:colOff>802005</xdr:colOff>
      <xdr:row>47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1904</xdr:colOff>
      <xdr:row>14</xdr:row>
      <xdr:rowOff>64771</xdr:rowOff>
    </xdr:from>
    <xdr:to>
      <xdr:col>11</xdr:col>
      <xdr:colOff>36195</xdr:colOff>
      <xdr:row>21</xdr:row>
      <xdr:rowOff>72391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191451</xdr:colOff>
      <xdr:row>42</xdr:row>
      <xdr:rowOff>177166</xdr:rowOff>
    </xdr:from>
    <xdr:to>
      <xdr:col>26</xdr:col>
      <xdr:colOff>64769</xdr:colOff>
      <xdr:row>50</xdr:row>
      <xdr:rowOff>83821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19</xdr:row>
      <xdr:rowOff>123823</xdr:rowOff>
    </xdr:from>
    <xdr:to>
      <xdr:col>2</xdr:col>
      <xdr:colOff>981075</xdr:colOff>
      <xdr:row>37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1166811</xdr:colOff>
      <xdr:row>19</xdr:row>
      <xdr:rowOff>142875</xdr:rowOff>
    </xdr:from>
    <xdr:to>
      <xdr:col>7</xdr:col>
      <xdr:colOff>352424</xdr:colOff>
      <xdr:row>37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285750</xdr:colOff>
      <xdr:row>19</xdr:row>
      <xdr:rowOff>152400</xdr:rowOff>
    </xdr:from>
    <xdr:to>
      <xdr:col>16</xdr:col>
      <xdr:colOff>557213</xdr:colOff>
      <xdr:row>37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38</xdr:row>
      <xdr:rowOff>38100</xdr:rowOff>
    </xdr:from>
    <xdr:to>
      <xdr:col>2</xdr:col>
      <xdr:colOff>962025</xdr:colOff>
      <xdr:row>55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1181100</xdr:colOff>
      <xdr:row>38</xdr:row>
      <xdr:rowOff>19050</xdr:rowOff>
    </xdr:from>
    <xdr:to>
      <xdr:col>7</xdr:col>
      <xdr:colOff>366713</xdr:colOff>
      <xdr:row>55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971551</xdr:colOff>
      <xdr:row>44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1085850</xdr:colOff>
      <xdr:row>27</xdr:row>
      <xdr:rowOff>0</xdr:rowOff>
    </xdr:from>
    <xdr:to>
      <xdr:col>7</xdr:col>
      <xdr:colOff>561976</xdr:colOff>
      <xdr:row>44</xdr:row>
      <xdr:rowOff>95251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26</xdr:row>
      <xdr:rowOff>180975</xdr:rowOff>
    </xdr:from>
    <xdr:to>
      <xdr:col>16</xdr:col>
      <xdr:colOff>561976</xdr:colOff>
      <xdr:row>44</xdr:row>
      <xdr:rowOff>85726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2</xdr:col>
      <xdr:colOff>971551</xdr:colOff>
      <xdr:row>63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1057275</xdr:colOff>
      <xdr:row>46</xdr:row>
      <xdr:rowOff>9525</xdr:rowOff>
    </xdr:from>
    <xdr:to>
      <xdr:col>7</xdr:col>
      <xdr:colOff>533401</xdr:colOff>
      <xdr:row>63</xdr:row>
      <xdr:rowOff>104776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46</xdr:row>
      <xdr:rowOff>9525</xdr:rowOff>
    </xdr:from>
    <xdr:to>
      <xdr:col>16</xdr:col>
      <xdr:colOff>571501</xdr:colOff>
      <xdr:row>63</xdr:row>
      <xdr:rowOff>104776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65</xdr:row>
      <xdr:rowOff>0</xdr:rowOff>
    </xdr:from>
    <xdr:to>
      <xdr:col>2</xdr:col>
      <xdr:colOff>971551</xdr:colOff>
      <xdr:row>82</xdr:row>
      <xdr:rowOff>95251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2</xdr:col>
      <xdr:colOff>971551</xdr:colOff>
      <xdr:row>31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1028700</xdr:colOff>
      <xdr:row>14</xdr:row>
      <xdr:rowOff>0</xdr:rowOff>
    </xdr:from>
    <xdr:to>
      <xdr:col>7</xdr:col>
      <xdr:colOff>504826</xdr:colOff>
      <xdr:row>31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14</xdr:row>
      <xdr:rowOff>0</xdr:rowOff>
    </xdr:from>
    <xdr:to>
      <xdr:col>16</xdr:col>
      <xdr:colOff>561976</xdr:colOff>
      <xdr:row>31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2</xdr:col>
      <xdr:colOff>971551</xdr:colOff>
      <xdr:row>35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1066800</xdr:colOff>
      <xdr:row>18</xdr:row>
      <xdr:rowOff>0</xdr:rowOff>
    </xdr:from>
    <xdr:to>
      <xdr:col>7</xdr:col>
      <xdr:colOff>542926</xdr:colOff>
      <xdr:row>35</xdr:row>
      <xdr:rowOff>95251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</xdr:col>
      <xdr:colOff>971551</xdr:colOff>
      <xdr:row>54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1076325</xdr:colOff>
      <xdr:row>37</xdr:row>
      <xdr:rowOff>0</xdr:rowOff>
    </xdr:from>
    <xdr:to>
      <xdr:col>7</xdr:col>
      <xdr:colOff>552451</xdr:colOff>
      <xdr:row>54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2</xdr:col>
      <xdr:colOff>971551</xdr:colOff>
      <xdr:row>28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1133475</xdr:colOff>
      <xdr:row>10</xdr:row>
      <xdr:rowOff>180975</xdr:rowOff>
    </xdr:from>
    <xdr:to>
      <xdr:col>8</xdr:col>
      <xdr:colOff>1</xdr:colOff>
      <xdr:row>28</xdr:row>
      <xdr:rowOff>85726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F1F153-82D8-4D32-94E5-0E305BF4EEAA}" name="SetorBP" displayName="SetorBP" ref="B2:AF154" totalsRowShown="0">
  <autoFilter ref="B2:AF154" xr:uid="{6FF1F153-82D8-4D32-94E5-0E305BF4EEAA}"/>
  <tableColumns count="31">
    <tableColumn id="1" xr3:uid="{B4BE31A9-1933-486F-9747-F7484C84B997}" name="38321 - Valorização de resíduos metálicos; Todas as dimensões"/>
    <tableColumn id="2" xr3:uid="{58158DF9-3C91-4410-9CB9-00577E5E517E}" name="2017 Quartil 1"/>
    <tableColumn id="3" xr3:uid="{1F25952A-BDD2-45E1-A98E-8B25FCD78D14}" name="2017 Mediana"/>
    <tableColumn id="4" xr3:uid="{CB2AFA6F-2C36-46F7-AA77-82BA597F0BCA}" name="2017 Quartil 3"/>
    <tableColumn id="5" xr3:uid="{C6BE30CC-AA48-447C-A8E6-ED1A5A99A3E2}" name="2017 Valor Médio"/>
    <tableColumn id="6" xr3:uid="{1BFE3D31-5748-4710-A7E9-88C9C9954987}" name="2017 Total"/>
    <tableColumn id="7" xr3:uid="{20CB303B-3738-4CCE-B688-D29A7141F1BD}" name="2018 Quartil 1"/>
    <tableColumn id="8" xr3:uid="{96AED93B-FFF3-4018-A79B-40054DFF1E8F}" name="2018 Mediana"/>
    <tableColumn id="9" xr3:uid="{900AF245-87B9-432A-A6A8-7DCDFD856D95}" name="2018 Quartil 3"/>
    <tableColumn id="10" xr3:uid="{2C717AF7-D74B-4B21-9F20-65817C32F3EB}" name="2018 Valor Médio"/>
    <tableColumn id="11" xr3:uid="{CA6E2E16-A56C-4671-8053-8596818A3BA9}" name="2018 Total"/>
    <tableColumn id="12" xr3:uid="{F85E8F8A-E336-49A3-9D19-45348B68296F}" name="2019 Quartil 1"/>
    <tableColumn id="13" xr3:uid="{036FE2B1-D4AC-4D48-981C-391E72D60F69}" name="2019 Mediana"/>
    <tableColumn id="14" xr3:uid="{0A4416E3-A3F7-4F0E-9976-B7B4D2273815}" name="2019 Quartil 3"/>
    <tableColumn id="15" xr3:uid="{28F765AE-5313-4F59-95AE-088E23CDDD44}" name="2019 Valor Médio"/>
    <tableColumn id="16" xr3:uid="{4B3620F3-ECEB-408B-B8B2-B02CB919016A}" name="2019 Total"/>
    <tableColumn id="17" xr3:uid="{422557CD-FA21-4207-82BA-DA833755F05B}" name="2020 Quartil 1"/>
    <tableColumn id="18" xr3:uid="{2E6E8836-B3DA-444B-9563-98D0F90AD920}" name="2020 Mediana"/>
    <tableColumn id="19" xr3:uid="{4F6F9C74-5E46-4AB3-9E94-DBDAEA5A1FAF}" name="2020 Quartil 3"/>
    <tableColumn id="20" xr3:uid="{1CB9440F-E819-4740-B228-F1CC4B9C3435}" name="2020 Valor Médio"/>
    <tableColumn id="21" xr3:uid="{927DBCE5-8E25-4778-9312-1DDF7AF7F641}" name="2020 Total"/>
    <tableColumn id="22" xr3:uid="{6AB42C68-9BBF-44F3-96C5-FE41A46397D9}" name="2021 Quartil 1"/>
    <tableColumn id="23" xr3:uid="{5C1EBC88-3892-48E3-90F6-A871B8452CFB}" name="2021 Mediana"/>
    <tableColumn id="24" xr3:uid="{168BDAD6-8445-4AE4-8B89-E4FDDFB39EFD}" name="2021 Quartil 3"/>
    <tableColumn id="25" xr3:uid="{0A60BFFF-DCE2-4908-B893-36073DC0B36E}" name="2021 Valor Médio"/>
    <tableColumn id="26" xr3:uid="{6DE8661F-D03A-43AE-9A18-2C46F05A31DD}" name="2021 Total"/>
    <tableColumn id="27" xr3:uid="{9D8B1F09-92C2-4044-8E1D-E88E734DEDE6}" name="2022 Quartil 1"/>
    <tableColumn id="28" xr3:uid="{D68392CC-6A5A-4D1B-88E3-6A0CE7B8B217}" name="2022 Mediana"/>
    <tableColumn id="29" xr3:uid="{EB92FB39-FDB3-4451-B866-7DC6A72E84FD}" name="2022 Quartil 3"/>
    <tableColumn id="30" xr3:uid="{BD5350F6-0556-425A-B030-2C96CD2BFCF5}" name="2022 Valor Médio"/>
    <tableColumn id="31" xr3:uid="{68404E76-2F70-497A-B762-9D8ABD6BE286}" name="2022 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73468F-49A8-4A1B-8320-136462A142D9}" name="SetorBPdimensao" displayName="SetorBPdimensao" ref="B2:AF154" totalsRowShown="0">
  <autoFilter ref="B2:AF154" xr:uid="{0873468F-49A8-4A1B-8320-136462A142D9}"/>
  <tableColumns count="31">
    <tableColumn id="1" xr3:uid="{34EA3946-A3D7-4742-A5CB-BF2C28CFED3A}" name="38321 - Valorização de resíduos metálicos; Microempresas"/>
    <tableColumn id="2" xr3:uid="{6C5BD815-157F-47B3-8AFB-81593D17F32E}" name="2017 Quartil 1"/>
    <tableColumn id="3" xr3:uid="{D69DF5EF-15D5-47AC-A96A-358306571F21}" name="2017 Mediana"/>
    <tableColumn id="4" xr3:uid="{45BF8368-C9A1-41B9-B22E-44F3E3CB8FC0}" name="2017 Quartil 3"/>
    <tableColumn id="5" xr3:uid="{35CE7178-43EE-4C6A-9220-16A23D0AA5AD}" name="2017 Valor Médio"/>
    <tableColumn id="6" xr3:uid="{1574E270-14EC-4274-94B4-79C0AB014FBE}" name="2017 Total"/>
    <tableColumn id="7" xr3:uid="{FECE1C02-122B-4E83-B5A9-50AD96EFB46E}" name="2018 Quartil 1"/>
    <tableColumn id="8" xr3:uid="{91400278-0077-493B-9F01-4CF3D2F55CB9}" name="2018 Mediana"/>
    <tableColumn id="9" xr3:uid="{1CBF3481-D831-4BA7-BD89-B45574FDB509}" name="2018 Quartil 3"/>
    <tableColumn id="10" xr3:uid="{2D3518AB-8CA8-490A-B805-0D574BFBDA2C}" name="2018 Valor Médio"/>
    <tableColumn id="11" xr3:uid="{8E316DA4-88F3-4EE1-A68B-3E1FDF071674}" name="2018 Total"/>
    <tableColumn id="12" xr3:uid="{7DA77726-AEA6-4CE1-ABC2-981A5EB3B75D}" name="2019 Quartil 1"/>
    <tableColumn id="13" xr3:uid="{CE3A738A-5BF8-4867-9227-829D76B28A3D}" name="2019 Mediana"/>
    <tableColumn id="14" xr3:uid="{FF3A0684-EE05-4CCD-873F-32666DAE573E}" name="2019 Quartil 3"/>
    <tableColumn id="15" xr3:uid="{773ACB8D-0F4A-4766-A075-5D12551EEACA}" name="2019 Valor Médio"/>
    <tableColumn id="16" xr3:uid="{9B60F10D-ADAF-469A-A0CF-329B8B1A4A15}" name="2019 Total"/>
    <tableColumn id="17" xr3:uid="{7C07C8EE-44CF-48DB-8C72-12D5C701FB49}" name="2020 Quartil 1"/>
    <tableColumn id="18" xr3:uid="{CFEDC556-210D-468D-9E6C-47E110ECB0D6}" name="2020 Mediana"/>
    <tableColumn id="19" xr3:uid="{BE00EDC5-9A1C-4F70-BC59-BB6EAB0EA0C5}" name="2020 Quartil 3"/>
    <tableColumn id="20" xr3:uid="{9A8EF6E4-1F67-4E4C-8AA9-A12C0735B516}" name="2020 Valor Médio"/>
    <tableColumn id="21" xr3:uid="{6024F68B-98B2-4C92-862B-A92349B4619A}" name="2020 Total"/>
    <tableColumn id="22" xr3:uid="{92F4C2B3-27F9-458E-96AF-BDC9D79E15FC}" name="2021 Quartil 1"/>
    <tableColumn id="23" xr3:uid="{710ED67D-6C18-48B1-BD9A-C0D831A21F4F}" name="2021 Mediana"/>
    <tableColumn id="24" xr3:uid="{C68DF8BA-4B94-4740-9052-F2AD0EF9D68C}" name="2021 Quartil 3"/>
    <tableColumn id="25" xr3:uid="{5CCB9526-87B9-4B2D-B1AD-A54672556C6E}" name="2021 Valor Médio"/>
    <tableColumn id="26" xr3:uid="{720C882B-A14D-45D1-84BF-B50E90AD9D65}" name="2021 Total"/>
    <tableColumn id="27" xr3:uid="{3AB29944-1530-4099-A0E4-3F1DB5AE4197}" name="2022 Quartil 1"/>
    <tableColumn id="28" xr3:uid="{3D5DBCE2-ADB9-4FB2-AA8C-D51942379E57}" name="2022 Mediana"/>
    <tableColumn id="29" xr3:uid="{73849EF4-C5F4-43F2-A6B7-5C8218D8B73F}" name="2022 Quartil 3"/>
    <tableColumn id="30" xr3:uid="{E6297359-F0D7-47EC-BECC-63EA1D268296}" name="2022 Valor Médio"/>
    <tableColumn id="31" xr3:uid="{3A3D576B-3636-4C37-9823-11DCE4AE692A}" name="2022 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47DB1E-ACE9-4962-897B-F352DC42D47C}" name="Table5" displayName="Table5" ref="B2:I97" totalsRowShown="0" headerRowDxfId="19" dataDxfId="18">
  <autoFilter ref="B2:I97" xr:uid="{D847DB1E-ACE9-4962-897B-F352DC42D47C}"/>
  <tableColumns count="8">
    <tableColumn id="1" xr3:uid="{41816A91-FC5A-45EA-902A-2BC2C8142291}" name="Divisão" dataDxfId="17"/>
    <tableColumn id="2" xr3:uid="{B5374EF7-398D-4A50-8692-F2AECBC3C5A6}" name="Secção" dataDxfId="16"/>
    <tableColumn id="3" xr3:uid="{2275F4D5-894D-434D-8165-A006525BA37C}" name="Atividade económica" dataDxfId="15"/>
    <tableColumn id="4" xr3:uid="{12D6C73F-B305-44F9-8B83-5100806920EE}" name="2017" dataDxfId="14"/>
    <tableColumn id="5" xr3:uid="{FAFA04B6-2691-4360-9E8B-5DB993F9C37B}" name="2018" dataDxfId="13"/>
    <tableColumn id="6" xr3:uid="{84944756-EE02-481E-BDA5-B56992718174}" name="2019" dataDxfId="12"/>
    <tableColumn id="7" xr3:uid="{54C607BB-7319-4E6C-8F28-617C83C19A74}" name="2020" dataDxfId="11"/>
    <tableColumn id="8" xr3:uid="{CA5F70C8-A538-4FFD-99A5-A5D9539DC5BA}" name="2021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C322AB-40B5-46D6-8561-397B5FCB24A8}" name="Tabela2" displayName="Tabela2" ref="D27:I32" totalsRowShown="0">
  <autoFilter ref="D27:I32" xr:uid="{FCC322AB-40B5-46D6-8561-397B5FCB24A8}"/>
  <tableColumns count="6">
    <tableColumn id="1" xr3:uid="{75EFC505-78F2-4E0D-8B4E-2202153B01AE}" name="indicadores empresa"/>
    <tableColumn id="2" xr3:uid="{9D86A367-3E7E-4805-A881-8E6017BCE27A}" name="2017" dataDxfId="9">
      <calculatedColumnFormula>Indicadores!C5</calculatedColumnFormula>
    </tableColumn>
    <tableColumn id="3" xr3:uid="{397D063C-8076-4E3D-8EFE-0B031848A5BB}" name="2018" dataDxfId="8">
      <calculatedColumnFormula>Indicadores!D5</calculatedColumnFormula>
    </tableColumn>
    <tableColumn id="4" xr3:uid="{68326E75-F0CC-4091-9DEF-79E3329D0602}" name="2019" dataDxfId="7">
      <calculatedColumnFormula>Indicadores!E5</calculatedColumnFormula>
    </tableColumn>
    <tableColumn id="5" xr3:uid="{C964157B-8039-4647-8FF5-CF2F905DD9BE}" name="2020" dataDxfId="6">
      <calculatedColumnFormula>Indicadores!F5</calculatedColumnFormula>
    </tableColumn>
    <tableColumn id="6" xr3:uid="{ACBEA9F5-F1B2-4B64-BC42-CE8ECE4901A9}" name="2021" dataDxfId="5">
      <calculatedColumnFormula>Indicadores!G5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1E29-5170-4137-914F-E9EDE0DB8833}" name="Tabela3" displayName="Tabela3" ref="K27:P32" totalsRowShown="0">
  <autoFilter ref="K27:P32" xr:uid="{AC531E29-5170-4137-914F-E9EDE0DB8833}"/>
  <tableColumns count="6">
    <tableColumn id="1" xr3:uid="{133DE61C-83D4-4E3F-8F37-94B88BA5B953}" name="indicadores setor"/>
    <tableColumn id="2" xr3:uid="{A395ADEA-0008-421E-9451-66E231DFB5E6}" name="2017" dataDxfId="4"/>
    <tableColumn id="3" xr3:uid="{07885754-2BC3-40B9-9C6E-519932382560}" name="2018" dataDxfId="3"/>
    <tableColumn id="4" xr3:uid="{7E8C5D52-6E70-4C54-A363-13466D8B4C4E}" name="2019" dataDxfId="2"/>
    <tableColumn id="5" xr3:uid="{9F3F71B3-6E6A-4288-BAC6-2277F2B7B573}" name="2020" dataDxfId="1"/>
    <tableColumn id="6" xr3:uid="{1E32414F-C507-45AB-B316-E7DBECE812C9}" name="202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aleta - stream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92646"/>
      </a:accent1>
      <a:accent2>
        <a:srgbClr val="494965"/>
      </a:accent2>
      <a:accent3>
        <a:srgbClr val="6B7086"/>
      </a:accent3>
      <a:accent4>
        <a:srgbClr val="9699A9"/>
      </a:accent4>
      <a:accent5>
        <a:srgbClr val="C3C4CC"/>
      </a:accent5>
      <a:accent6>
        <a:srgbClr val="F1F1F1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t"/>
      <a:lstStyle>
        <a:defPPr marL="0" indent="0" algn="ctr">
          <a:defRPr sz="1800" b="1" i="0" u="none" strike="noStrike">
            <a:solidFill>
              <a:schemeClr val="tx2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D9B07-BB9D-4C98-B39E-BCF6C58BD641}">
  <sheetPr codeName="Folha1"/>
  <dimension ref="B3:G38"/>
  <sheetViews>
    <sheetView topLeftCell="A4" workbookViewId="0">
      <selection activeCell="C8" sqref="C8:G12"/>
    </sheetView>
  </sheetViews>
  <sheetFormatPr defaultRowHeight="14.4" x14ac:dyDescent="0.3"/>
  <cols>
    <col min="2" max="2" width="70.44140625" bestFit="1" customWidth="1"/>
    <col min="3" max="6" width="12.6640625" bestFit="1" customWidth="1"/>
    <col min="7" max="7" width="13.88671875" bestFit="1" customWidth="1"/>
  </cols>
  <sheetData>
    <row r="3" spans="2:7" x14ac:dyDescent="0.3">
      <c r="B3" s="113" t="s">
        <v>0</v>
      </c>
      <c r="C3" s="114"/>
      <c r="D3" s="114"/>
      <c r="E3" s="114"/>
      <c r="F3" s="114"/>
      <c r="G3" s="114"/>
    </row>
    <row r="4" spans="2:7" x14ac:dyDescent="0.3">
      <c r="B4" s="11" t="s">
        <v>1</v>
      </c>
      <c r="C4" s="1">
        <v>2017</v>
      </c>
      <c r="D4" s="1">
        <v>2018</v>
      </c>
      <c r="E4" s="1">
        <v>2019</v>
      </c>
      <c r="F4" s="1">
        <v>2020</v>
      </c>
      <c r="G4" s="1">
        <v>2021</v>
      </c>
    </row>
    <row r="5" spans="2:7" x14ac:dyDescent="0.3">
      <c r="B5" s="12" t="s">
        <v>2</v>
      </c>
      <c r="C5" s="3">
        <v>9310619.6699999999</v>
      </c>
      <c r="D5" s="3">
        <v>8674264.5199999996</v>
      </c>
      <c r="E5" s="4">
        <v>9537017.3599999994</v>
      </c>
      <c r="F5" s="4">
        <v>9085170.4499999993</v>
      </c>
      <c r="G5" s="4">
        <v>12800570.050000001</v>
      </c>
    </row>
    <row r="6" spans="2:7" x14ac:dyDescent="0.3">
      <c r="B6" s="12" t="s">
        <v>3</v>
      </c>
      <c r="C6" s="5"/>
      <c r="D6" s="5"/>
      <c r="E6" s="6"/>
      <c r="F6" s="6">
        <v>75581</v>
      </c>
      <c r="G6" s="6">
        <v>12108.96</v>
      </c>
    </row>
    <row r="7" spans="2:7" x14ac:dyDescent="0.3">
      <c r="B7" s="12" t="s">
        <v>4</v>
      </c>
      <c r="C7" s="5"/>
      <c r="D7" s="5"/>
      <c r="E7" s="6"/>
      <c r="F7" s="6"/>
      <c r="G7" s="6"/>
    </row>
    <row r="8" spans="2:7" x14ac:dyDescent="0.3">
      <c r="B8" s="12" t="s">
        <v>5</v>
      </c>
      <c r="C8" s="5">
        <v>2068.12</v>
      </c>
      <c r="D8" s="5">
        <v>177264.58</v>
      </c>
      <c r="E8" s="6">
        <v>-122765.71</v>
      </c>
      <c r="F8" s="6">
        <v>56933.22</v>
      </c>
      <c r="G8" s="6">
        <v>414755.39</v>
      </c>
    </row>
    <row r="9" spans="2:7" x14ac:dyDescent="0.3">
      <c r="B9" s="12" t="s">
        <v>6</v>
      </c>
      <c r="C9" s="5"/>
      <c r="D9" s="5"/>
      <c r="E9" s="6"/>
      <c r="F9" s="6"/>
      <c r="G9" s="6"/>
    </row>
    <row r="10" spans="2:7" x14ac:dyDescent="0.3">
      <c r="B10" s="12" t="s">
        <v>7</v>
      </c>
      <c r="C10" s="5">
        <v>5390954.5</v>
      </c>
      <c r="D10" s="5">
        <v>5340626.7</v>
      </c>
      <c r="E10" s="6">
        <v>5512938.6600000001</v>
      </c>
      <c r="F10" s="6">
        <v>5407770.2400000002</v>
      </c>
      <c r="G10" s="6">
        <v>7046576.1799999997</v>
      </c>
    </row>
    <row r="11" spans="2:7" x14ac:dyDescent="0.3">
      <c r="B11" s="12" t="s">
        <v>8</v>
      </c>
      <c r="C11" s="5">
        <v>802086.07</v>
      </c>
      <c r="D11" s="5">
        <v>756221.67</v>
      </c>
      <c r="E11" s="6">
        <v>878438.49</v>
      </c>
      <c r="F11" s="6">
        <v>1172384.1299999999</v>
      </c>
      <c r="G11" s="6">
        <v>1278798.29</v>
      </c>
    </row>
    <row r="12" spans="2:7" x14ac:dyDescent="0.3">
      <c r="B12" s="12" t="s">
        <v>9</v>
      </c>
      <c r="C12" s="5">
        <v>2169630.7999999998</v>
      </c>
      <c r="D12" s="5">
        <v>2073639.7</v>
      </c>
      <c r="E12" s="6">
        <v>2103300.11</v>
      </c>
      <c r="F12" s="6">
        <v>2129788.79</v>
      </c>
      <c r="G12" s="6">
        <v>2576880.21</v>
      </c>
    </row>
    <row r="13" spans="2:7" x14ac:dyDescent="0.3">
      <c r="B13" s="12" t="s">
        <v>10</v>
      </c>
      <c r="C13" s="5"/>
      <c r="D13" s="5"/>
      <c r="E13" s="6"/>
      <c r="F13" s="6"/>
      <c r="G13" s="6"/>
    </row>
    <row r="14" spans="2:7" x14ac:dyDescent="0.3">
      <c r="B14" s="12" t="s">
        <v>11</v>
      </c>
      <c r="C14" s="5"/>
      <c r="D14" s="5"/>
      <c r="E14" s="6">
        <v>41891.19</v>
      </c>
      <c r="F14" s="6">
        <v>20407.55</v>
      </c>
      <c r="G14" s="6"/>
    </row>
    <row r="15" spans="2:7" x14ac:dyDescent="0.3">
      <c r="B15" s="12" t="s">
        <v>12</v>
      </c>
      <c r="C15" s="5"/>
      <c r="D15" s="5"/>
      <c r="E15" s="6"/>
      <c r="F15" s="6"/>
      <c r="G15" s="6"/>
    </row>
    <row r="16" spans="2:7" x14ac:dyDescent="0.3">
      <c r="B16" s="12" t="s">
        <v>13</v>
      </c>
      <c r="C16" s="5"/>
      <c r="D16" s="5"/>
      <c r="E16" s="6"/>
      <c r="F16" s="6"/>
      <c r="G16" s="6">
        <v>503.82</v>
      </c>
    </row>
    <row r="17" spans="2:7" x14ac:dyDescent="0.3">
      <c r="B17" s="12" t="s">
        <v>14</v>
      </c>
      <c r="C17" s="5"/>
      <c r="D17" s="5"/>
      <c r="E17" s="6"/>
      <c r="F17" s="6"/>
      <c r="G17" s="6"/>
    </row>
    <row r="18" spans="2:7" x14ac:dyDescent="0.3">
      <c r="B18" s="12" t="s">
        <v>15</v>
      </c>
      <c r="C18" s="5"/>
      <c r="D18" s="5"/>
      <c r="E18" s="6"/>
      <c r="F18" s="6"/>
      <c r="G18" s="6"/>
    </row>
    <row r="19" spans="2:7" x14ac:dyDescent="0.3">
      <c r="B19" s="12" t="s">
        <v>16</v>
      </c>
      <c r="C19" s="5">
        <v>133775.46</v>
      </c>
      <c r="D19" s="5">
        <v>282968.07</v>
      </c>
      <c r="E19" s="6">
        <v>41861.440000000002</v>
      </c>
      <c r="F19" s="6">
        <v>43977.16</v>
      </c>
      <c r="G19" s="6">
        <v>63130.25</v>
      </c>
    </row>
    <row r="20" spans="2:7" x14ac:dyDescent="0.3">
      <c r="B20" s="15" t="s">
        <v>17</v>
      </c>
      <c r="C20" s="7"/>
      <c r="D20" s="7"/>
      <c r="E20" s="8"/>
      <c r="F20" s="8"/>
      <c r="G20" s="8"/>
    </row>
    <row r="21" spans="2:7" x14ac:dyDescent="0.3">
      <c r="B21" s="12" t="s">
        <v>18</v>
      </c>
      <c r="C21" s="7">
        <v>293956.11</v>
      </c>
      <c r="D21" s="7">
        <v>17100.68</v>
      </c>
      <c r="E21" s="8">
        <v>17786.919999999998</v>
      </c>
      <c r="F21" s="8">
        <v>41539.07</v>
      </c>
      <c r="G21" s="8">
        <v>57874.92</v>
      </c>
    </row>
    <row r="22" spans="2:7" x14ac:dyDescent="0.3">
      <c r="B22" s="15" t="s">
        <v>19</v>
      </c>
      <c r="C22" s="7"/>
      <c r="D22" s="7"/>
      <c r="E22" s="8"/>
      <c r="F22" s="8">
        <v>10818.78</v>
      </c>
      <c r="G22" s="8">
        <v>16032.7</v>
      </c>
    </row>
    <row r="23" spans="2:7" x14ac:dyDescent="0.3">
      <c r="B23" s="2" t="s">
        <v>20</v>
      </c>
      <c r="C23" s="13">
        <f>+ROUNDDOWN(SUM(C5:C9,C18:C19)-SUM(C10:C17,C21),2)</f>
        <v>789835.77</v>
      </c>
      <c r="D23" s="13">
        <f>+ROUNDDOWN(SUM(D5:D9,D18:D19)-SUM(D10:D17,D21),2)</f>
        <v>946908.42</v>
      </c>
      <c r="E23" s="13">
        <f>+ROUNDDOWN(SUM(E5:E9,E18:E19)-SUM(E10:E17,E21),2)</f>
        <v>901757.71</v>
      </c>
      <c r="F23" s="13">
        <f>+ROUNDDOWN(SUM(F5:F9,F18:F19)-SUM(F10:F17,F21),2)</f>
        <v>489772.04</v>
      </c>
      <c r="G23" s="13">
        <f>+ROUNDDOWN(SUM(G5:G9,G18:G19)-SUM(G10:G17,G21),2)</f>
        <v>2329931.23</v>
      </c>
    </row>
    <row r="24" spans="2:7" x14ac:dyDescent="0.3">
      <c r="B24" s="12" t="s">
        <v>21</v>
      </c>
      <c r="C24" s="3">
        <v>260709.9</v>
      </c>
      <c r="D24" s="3">
        <v>268844.68</v>
      </c>
      <c r="E24" s="4">
        <v>221964.1</v>
      </c>
      <c r="F24" s="4">
        <v>276304.28999999998</v>
      </c>
      <c r="G24" s="4">
        <v>1014778.77</v>
      </c>
    </row>
    <row r="25" spans="2:7" x14ac:dyDescent="0.3">
      <c r="B25" s="12" t="s">
        <v>22</v>
      </c>
      <c r="C25" s="7"/>
      <c r="D25" s="7"/>
      <c r="E25" s="8"/>
      <c r="F25" s="8"/>
      <c r="G25" s="8"/>
    </row>
    <row r="26" spans="2:7" x14ac:dyDescent="0.3">
      <c r="B26" s="2" t="s">
        <v>23</v>
      </c>
      <c r="C26" s="13">
        <f>+ROUNDDOWN(C23-SUM(C24:C25),2)</f>
        <v>529125.87</v>
      </c>
      <c r="D26" s="13">
        <f>+ROUNDDOWN(D23-SUM(D24:D25),2)</f>
        <v>678063.74</v>
      </c>
      <c r="E26" s="13">
        <f>+ROUNDDOWN(E23-SUM(E24:E25),2)</f>
        <v>679793.61</v>
      </c>
      <c r="F26" s="13">
        <f>+ROUNDDOWN(F23-SUM(F24:F25),2)</f>
        <v>213467.75</v>
      </c>
      <c r="G26" s="13">
        <f>+ROUNDDOWN(G23-SUM(G24:G25),2)</f>
        <v>1315152.46</v>
      </c>
    </row>
    <row r="27" spans="2:7" x14ac:dyDescent="0.3">
      <c r="B27" s="12" t="s">
        <v>24</v>
      </c>
      <c r="C27" s="3"/>
      <c r="D27" s="3"/>
      <c r="E27" s="4"/>
      <c r="F27" s="4"/>
      <c r="G27" s="4"/>
    </row>
    <row r="28" spans="2:7" x14ac:dyDescent="0.3">
      <c r="B28" s="12" t="s">
        <v>25</v>
      </c>
      <c r="C28" s="7">
        <v>17125.89</v>
      </c>
      <c r="D28" s="7">
        <v>11368.22</v>
      </c>
      <c r="E28" s="8">
        <v>7169.8</v>
      </c>
      <c r="F28" s="8">
        <v>2982.96</v>
      </c>
      <c r="G28" s="8">
        <v>20808.2</v>
      </c>
    </row>
    <row r="29" spans="2:7" x14ac:dyDescent="0.3">
      <c r="B29" s="2" t="s">
        <v>26</v>
      </c>
      <c r="C29" s="13">
        <f>+ROUNDDOWN(C26+C27-C28,2)</f>
        <v>511999.98</v>
      </c>
      <c r="D29" s="13">
        <f>+ROUNDDOWN(D26+D27-D28,2)</f>
        <v>666695.52</v>
      </c>
      <c r="E29" s="13">
        <f>+ROUNDDOWN(E26+E27-E28,2)</f>
        <v>672623.81</v>
      </c>
      <c r="F29" s="13">
        <f>+ROUNDDOWN(F26+F27-F28,2)</f>
        <v>210484.79</v>
      </c>
      <c r="G29" s="13">
        <f>+ROUNDDOWN(G26+G27-G28,2)</f>
        <v>1294344.26</v>
      </c>
    </row>
    <row r="30" spans="2:7" x14ac:dyDescent="0.3">
      <c r="B30" s="12" t="s">
        <v>27</v>
      </c>
      <c r="C30" s="9">
        <v>96267.99</v>
      </c>
      <c r="D30" s="9">
        <v>51562.23</v>
      </c>
      <c r="E30" s="10">
        <v>14908.87</v>
      </c>
      <c r="F30" s="10">
        <v>28123.49</v>
      </c>
      <c r="G30" s="10">
        <v>22393.05</v>
      </c>
    </row>
    <row r="31" spans="2:7" x14ac:dyDescent="0.3">
      <c r="B31" s="2" t="s">
        <v>28</v>
      </c>
      <c r="C31" s="13">
        <f>+ROUNDDOWN(C29-C30,2)</f>
        <v>415731.99</v>
      </c>
      <c r="D31" s="13">
        <f>+ROUNDDOWN(D29-D30,2)</f>
        <v>615133.29</v>
      </c>
      <c r="E31" s="13">
        <f>+ROUNDDOWN(E29-E30,2)</f>
        <v>657714.93999999994</v>
      </c>
      <c r="F31" s="13">
        <f>+ROUNDDOWN(F29-F30,2)</f>
        <v>182361.3</v>
      </c>
      <c r="G31" s="13">
        <f>+ROUNDDOWN(G29-G30,2)</f>
        <v>1271951.21</v>
      </c>
    </row>
    <row r="34" spans="2:7" x14ac:dyDescent="0.3">
      <c r="B34" s="2" t="s">
        <v>87</v>
      </c>
      <c r="C34" s="14">
        <f>C31+C24+C25+C13+C14+C15+C16+C18</f>
        <v>676441.89</v>
      </c>
      <c r="D34" s="14">
        <f>D31+D24+D25+D13+D14+D15+D16+D18</f>
        <v>883977.97</v>
      </c>
      <c r="E34" s="14">
        <f>E31+E24+E25+E13+E14+E15+E16+E18</f>
        <v>921570.23</v>
      </c>
      <c r="F34" s="14">
        <f>F31+F24+F25+F13+F14+F15+F16+F18</f>
        <v>479073.13999999996</v>
      </c>
      <c r="G34" s="14">
        <f>G31+G24+G25+G13+G14+G15+G16+G18</f>
        <v>2287233.7999999998</v>
      </c>
    </row>
    <row r="35" spans="2:7" x14ac:dyDescent="0.3">
      <c r="B35" s="2" t="s">
        <v>88</v>
      </c>
      <c r="C35" s="14">
        <f>C5+C8+C9+C6</f>
        <v>9312687.7899999991</v>
      </c>
      <c r="D35" s="14">
        <f>D5+D8+D9+D6</f>
        <v>8851529.0999999996</v>
      </c>
      <c r="E35" s="14">
        <f>E5+E8+E9+E6</f>
        <v>9414251.6499999985</v>
      </c>
      <c r="F35" s="14">
        <f>F5+F8+F9+F6</f>
        <v>9217684.6699999999</v>
      </c>
      <c r="G35" s="14">
        <f>G5+G8+G9+G6</f>
        <v>13227434.400000002</v>
      </c>
    </row>
    <row r="36" spans="2:7" x14ac:dyDescent="0.3">
      <c r="B36" s="2" t="s">
        <v>89</v>
      </c>
      <c r="C36" s="14">
        <f>C35-C10-C11</f>
        <v>3119647.2199999993</v>
      </c>
      <c r="D36" s="14">
        <f>D35-D10-D11</f>
        <v>2754680.7299999995</v>
      </c>
      <c r="E36" s="14">
        <f>E35-E10-E11</f>
        <v>3022874.4999999981</v>
      </c>
      <c r="F36" s="14">
        <f>F35-F10-F11</f>
        <v>2637530.2999999998</v>
      </c>
      <c r="G36" s="14">
        <f>G35-G10-G11</f>
        <v>4902059.9300000025</v>
      </c>
    </row>
    <row r="37" spans="2:7" x14ac:dyDescent="0.3">
      <c r="B37" s="2" t="s">
        <v>463</v>
      </c>
      <c r="C37" s="91">
        <v>146</v>
      </c>
      <c r="D37" s="91">
        <v>140</v>
      </c>
      <c r="E37" s="91">
        <v>127</v>
      </c>
      <c r="F37" s="91">
        <v>135</v>
      </c>
      <c r="G37" s="91">
        <v>149</v>
      </c>
    </row>
    <row r="38" spans="2:7" x14ac:dyDescent="0.3">
      <c r="C38" s="20"/>
      <c r="D38" s="20"/>
      <c r="E38" s="20"/>
      <c r="F38" s="20"/>
      <c r="G38" s="20"/>
    </row>
  </sheetData>
  <mergeCells count="1">
    <mergeCell ref="B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13AA-EA8E-4A09-A8F1-F06DDBC84E8E}">
  <sheetPr codeName="Folha2"/>
  <dimension ref="B3:I68"/>
  <sheetViews>
    <sheetView workbookViewId="0">
      <selection activeCell="C8" sqref="C8"/>
    </sheetView>
  </sheetViews>
  <sheetFormatPr defaultRowHeight="14.4" x14ac:dyDescent="0.3"/>
  <cols>
    <col min="2" max="2" width="40.88671875" bestFit="1" customWidth="1"/>
    <col min="3" max="5" width="14.88671875" bestFit="1" customWidth="1"/>
    <col min="6" max="7" width="16" bestFit="1" customWidth="1"/>
    <col min="9" max="9" width="12.88671875" bestFit="1" customWidth="1"/>
  </cols>
  <sheetData>
    <row r="3" spans="2:7" x14ac:dyDescent="0.3">
      <c r="B3" s="115" t="s">
        <v>29</v>
      </c>
      <c r="C3" s="116"/>
      <c r="D3" s="116"/>
      <c r="E3" s="116"/>
      <c r="F3" s="116"/>
      <c r="G3" s="116"/>
    </row>
    <row r="4" spans="2:7" x14ac:dyDescent="0.3">
      <c r="B4" s="11" t="s">
        <v>30</v>
      </c>
      <c r="C4" s="1">
        <v>2017</v>
      </c>
      <c r="D4" s="1">
        <v>2018</v>
      </c>
      <c r="E4" s="1">
        <v>2019</v>
      </c>
      <c r="F4" s="1">
        <v>2020</v>
      </c>
      <c r="G4" s="1">
        <v>2021</v>
      </c>
    </row>
    <row r="5" spans="2:7" x14ac:dyDescent="0.3">
      <c r="B5" s="16" t="s">
        <v>31</v>
      </c>
      <c r="C5" s="17">
        <f>+ROUNDDOWN(SUM(C6:C16),2)</f>
        <v>1460101.59</v>
      </c>
      <c r="D5" s="17">
        <f>+ROUNDDOWN(SUM(D6:D16),2)</f>
        <v>1676240.88</v>
      </c>
      <c r="E5" s="17">
        <f>+ROUNDDOWN(SUM(E6:E16),2)</f>
        <v>2517248.09</v>
      </c>
      <c r="F5" s="17">
        <f>+ROUNDDOWN(SUM(F6:F16),2)</f>
        <v>7070427.9000000004</v>
      </c>
      <c r="G5" s="17">
        <f>+ROUNDDOWN(SUM(G6:G16),2)</f>
        <v>6566487.9699999997</v>
      </c>
    </row>
    <row r="6" spans="2:7" x14ac:dyDescent="0.3">
      <c r="B6" s="12" t="s">
        <v>32</v>
      </c>
      <c r="C6" s="18">
        <v>1456468.83</v>
      </c>
      <c r="D6" s="18">
        <v>1670646.79</v>
      </c>
      <c r="E6" s="18">
        <v>2504681.73</v>
      </c>
      <c r="F6" s="18">
        <v>6443570.3499999996</v>
      </c>
      <c r="G6" s="18">
        <v>6509441.9800000004</v>
      </c>
    </row>
    <row r="7" spans="2:7" x14ac:dyDescent="0.3">
      <c r="B7" s="12" t="s">
        <v>33</v>
      </c>
      <c r="C7" s="18"/>
      <c r="D7" s="18"/>
      <c r="E7" s="18"/>
      <c r="F7" s="18">
        <v>610820.63</v>
      </c>
      <c r="G7" s="18"/>
    </row>
    <row r="8" spans="2:7" x14ac:dyDescent="0.3">
      <c r="B8" s="12" t="s">
        <v>34</v>
      </c>
      <c r="C8" s="18"/>
      <c r="D8" s="18"/>
      <c r="E8" s="18"/>
      <c r="F8" s="18"/>
      <c r="G8" s="18"/>
    </row>
    <row r="9" spans="2:7" x14ac:dyDescent="0.3">
      <c r="B9" s="12" t="s">
        <v>35</v>
      </c>
      <c r="C9" s="18"/>
      <c r="D9" s="18"/>
      <c r="E9" s="18">
        <v>3040</v>
      </c>
      <c r="F9" s="18">
        <v>3040</v>
      </c>
      <c r="G9" s="18">
        <v>38805.379999999997</v>
      </c>
    </row>
    <row r="10" spans="2:7" x14ac:dyDescent="0.3">
      <c r="B10" s="12" t="s">
        <v>36</v>
      </c>
      <c r="C10" s="18"/>
      <c r="D10" s="18"/>
      <c r="E10" s="18"/>
      <c r="F10" s="18"/>
      <c r="G10" s="18"/>
    </row>
    <row r="11" spans="2:7" x14ac:dyDescent="0.3">
      <c r="B11" s="12" t="s">
        <v>37</v>
      </c>
      <c r="C11" s="18"/>
      <c r="D11" s="18"/>
      <c r="E11" s="18"/>
      <c r="F11" s="18"/>
      <c r="G11" s="18"/>
    </row>
    <row r="12" spans="2:7" x14ac:dyDescent="0.3">
      <c r="B12" s="12" t="s">
        <v>38</v>
      </c>
      <c r="C12" s="18">
        <v>3632.76</v>
      </c>
      <c r="D12" s="18">
        <v>5594.09</v>
      </c>
      <c r="E12" s="18">
        <v>9526.36</v>
      </c>
      <c r="F12" s="18">
        <v>12996.92</v>
      </c>
      <c r="G12" s="18">
        <v>18240.61</v>
      </c>
    </row>
    <row r="13" spans="2:7" x14ac:dyDescent="0.3">
      <c r="B13" s="12" t="s">
        <v>39</v>
      </c>
      <c r="C13" s="18"/>
      <c r="D13" s="18"/>
      <c r="E13" s="18"/>
      <c r="F13" s="18"/>
      <c r="G13" s="18"/>
    </row>
    <row r="14" spans="2:7" x14ac:dyDescent="0.3">
      <c r="B14" s="12" t="s">
        <v>40</v>
      </c>
      <c r="C14" s="18"/>
      <c r="D14" s="18"/>
      <c r="E14" s="18"/>
      <c r="F14" s="18"/>
      <c r="G14" s="18"/>
    </row>
    <row r="15" spans="2:7" x14ac:dyDescent="0.3">
      <c r="B15" s="12" t="s">
        <v>41</v>
      </c>
      <c r="C15" s="18"/>
      <c r="D15" s="18"/>
      <c r="E15" s="18"/>
      <c r="F15" s="18"/>
      <c r="G15" s="18"/>
    </row>
    <row r="16" spans="2:7" x14ac:dyDescent="0.3">
      <c r="B16" s="12" t="s">
        <v>42</v>
      </c>
      <c r="C16" s="18"/>
      <c r="D16" s="18"/>
      <c r="E16" s="18"/>
      <c r="F16" s="18"/>
      <c r="G16" s="18"/>
    </row>
    <row r="17" spans="2:7" x14ac:dyDescent="0.3">
      <c r="B17" s="16" t="s">
        <v>43</v>
      </c>
      <c r="C17" s="17">
        <f>+ROUNDDOWN(SUM(C18:C30),2)</f>
        <v>7395248.3499999996</v>
      </c>
      <c r="D17" s="17">
        <f>+ROUNDDOWN(SUM(D18:D30),2)</f>
        <v>7516318.6799999997</v>
      </c>
      <c r="E17" s="17">
        <f>+ROUNDDOWN(SUM(E18:E30),2)</f>
        <v>7192362.8200000003</v>
      </c>
      <c r="F17" s="17">
        <f>+ROUNDDOWN(SUM(F18:F30),2)</f>
        <v>6937774.1299999999</v>
      </c>
      <c r="G17" s="17">
        <f>+ROUNDDOWN(SUM(G18:G30),2)</f>
        <v>8290704.6600000001</v>
      </c>
    </row>
    <row r="18" spans="2:7" x14ac:dyDescent="0.3">
      <c r="B18" s="12" t="s">
        <v>44</v>
      </c>
      <c r="C18" s="18">
        <v>949729.72</v>
      </c>
      <c r="D18" s="18">
        <v>1149682.48</v>
      </c>
      <c r="E18" s="18">
        <v>836726.92</v>
      </c>
      <c r="F18" s="18">
        <v>943270.23</v>
      </c>
      <c r="G18" s="18">
        <v>3063173.89</v>
      </c>
    </row>
    <row r="19" spans="2:7" x14ac:dyDescent="0.3">
      <c r="B19" s="12" t="s">
        <v>36</v>
      </c>
      <c r="C19" s="18"/>
      <c r="D19" s="18"/>
      <c r="E19" s="18"/>
      <c r="F19" s="18"/>
      <c r="G19" s="18"/>
    </row>
    <row r="20" spans="2:7" x14ac:dyDescent="0.3">
      <c r="B20" s="12" t="s">
        <v>45</v>
      </c>
      <c r="C20" s="18">
        <v>1717390.23</v>
      </c>
      <c r="D20" s="18">
        <v>1170709.1299999999</v>
      </c>
      <c r="E20" s="18">
        <v>1682589.98</v>
      </c>
      <c r="F20" s="18">
        <v>1991470.57</v>
      </c>
      <c r="G20" s="18">
        <v>2514923.02</v>
      </c>
    </row>
    <row r="21" spans="2:7" x14ac:dyDescent="0.3">
      <c r="B21" s="12" t="s">
        <v>46</v>
      </c>
      <c r="C21" s="18"/>
      <c r="D21" s="18"/>
      <c r="E21" s="18"/>
      <c r="F21" s="18"/>
      <c r="G21" s="18">
        <v>45883.14</v>
      </c>
    </row>
    <row r="22" spans="2:7" x14ac:dyDescent="0.3">
      <c r="B22" s="12" t="s">
        <v>47</v>
      </c>
      <c r="C22" s="18">
        <v>186263.63</v>
      </c>
      <c r="D22" s="18">
        <v>203348.52</v>
      </c>
      <c r="E22" s="18">
        <v>181737.74</v>
      </c>
      <c r="F22" s="18">
        <v>443932.96</v>
      </c>
      <c r="G22" s="18">
        <v>221371.8</v>
      </c>
    </row>
    <row r="23" spans="2:7" x14ac:dyDescent="0.3">
      <c r="B23" s="12" t="s">
        <v>39</v>
      </c>
      <c r="C23" s="18">
        <v>340171.79</v>
      </c>
      <c r="D23" s="18">
        <v>334060.65999999997</v>
      </c>
      <c r="E23" s="18"/>
      <c r="F23" s="18"/>
      <c r="G23" s="18"/>
    </row>
    <row r="24" spans="2:7" x14ac:dyDescent="0.3">
      <c r="B24" s="12" t="s">
        <v>48</v>
      </c>
      <c r="C24" s="18">
        <v>57853.41</v>
      </c>
      <c r="D24" s="18">
        <v>824019.75</v>
      </c>
      <c r="E24" s="18">
        <v>1154751.26</v>
      </c>
      <c r="F24" s="18">
        <v>1160674.93</v>
      </c>
      <c r="G24" s="18">
        <v>1143309.1200000001</v>
      </c>
    </row>
    <row r="25" spans="2:7" x14ac:dyDescent="0.3">
      <c r="B25" s="12" t="s">
        <v>49</v>
      </c>
      <c r="C25" s="18">
        <v>4494.79</v>
      </c>
      <c r="D25" s="18">
        <v>3259.7</v>
      </c>
      <c r="E25" s="18">
        <v>13350.08</v>
      </c>
      <c r="F25" s="18">
        <v>15269.65</v>
      </c>
      <c r="G25" s="18">
        <v>21437.7</v>
      </c>
    </row>
    <row r="26" spans="2:7" x14ac:dyDescent="0.3">
      <c r="B26" s="12" t="s">
        <v>50</v>
      </c>
      <c r="C26" s="18">
        <v>1004399.1</v>
      </c>
      <c r="D26" s="18">
        <v>705241.2</v>
      </c>
      <c r="E26" s="18">
        <v>706508.52</v>
      </c>
      <c r="F26" s="18">
        <v>708517.58</v>
      </c>
      <c r="G26" s="18">
        <v>507513.76</v>
      </c>
    </row>
    <row r="27" spans="2:7" x14ac:dyDescent="0.3">
      <c r="B27" s="12" t="s">
        <v>40</v>
      </c>
      <c r="C27" s="18">
        <v>759676.63</v>
      </c>
      <c r="D27" s="18"/>
      <c r="E27" s="18"/>
      <c r="F27" s="18"/>
      <c r="G27" s="18"/>
    </row>
    <row r="28" spans="2:7" x14ac:dyDescent="0.3">
      <c r="B28" s="12" t="s">
        <v>51</v>
      </c>
      <c r="C28" s="18"/>
      <c r="D28" s="18"/>
      <c r="E28" s="18"/>
      <c r="F28" s="18"/>
      <c r="G28" s="18"/>
    </row>
    <row r="29" spans="2:7" x14ac:dyDescent="0.3">
      <c r="B29" s="12" t="s">
        <v>52</v>
      </c>
      <c r="C29" s="18"/>
      <c r="D29" s="18"/>
      <c r="E29" s="18"/>
      <c r="F29" s="18"/>
      <c r="G29" s="18"/>
    </row>
    <row r="30" spans="2:7" x14ac:dyDescent="0.3">
      <c r="B30" s="12" t="s">
        <v>53</v>
      </c>
      <c r="C30" s="18">
        <v>2375269.0499999998</v>
      </c>
      <c r="D30" s="18">
        <v>3125997.24</v>
      </c>
      <c r="E30" s="18">
        <v>2616698.3199999998</v>
      </c>
      <c r="F30" s="18">
        <v>1674638.21</v>
      </c>
      <c r="G30" s="18">
        <v>773092.23</v>
      </c>
    </row>
    <row r="31" spans="2:7" x14ac:dyDescent="0.3">
      <c r="B31" s="16" t="s">
        <v>54</v>
      </c>
      <c r="C31" s="17">
        <f>+ROUNDDOWN(C5+C17,2)</f>
        <v>8855349.9399999995</v>
      </c>
      <c r="D31" s="17">
        <f>+ROUNDDOWN(D5+D17,2)</f>
        <v>9192559.5600000005</v>
      </c>
      <c r="E31" s="17">
        <f>+ROUNDDOWN(E5+E17,2)</f>
        <v>9709610.9100000001</v>
      </c>
      <c r="F31" s="17">
        <f>+ROUNDDOWN(F5+F17,2)</f>
        <v>14008202.029999999</v>
      </c>
      <c r="G31" s="17">
        <f>+ROUNDDOWN(G5+G17,2)</f>
        <v>14857192.630000001</v>
      </c>
    </row>
    <row r="32" spans="2:7" x14ac:dyDescent="0.3">
      <c r="B32" s="11" t="s">
        <v>55</v>
      </c>
      <c r="C32" s="19"/>
      <c r="D32" s="19"/>
      <c r="E32" s="19"/>
      <c r="F32" s="19"/>
      <c r="G32" s="19"/>
    </row>
    <row r="33" spans="2:7" x14ac:dyDescent="0.3">
      <c r="B33" s="12" t="s">
        <v>56</v>
      </c>
      <c r="C33" s="18">
        <v>498798</v>
      </c>
      <c r="D33" s="18">
        <v>498798</v>
      </c>
      <c r="E33" s="18">
        <v>498798</v>
      </c>
      <c r="F33" s="18">
        <v>498798</v>
      </c>
      <c r="G33" s="18">
        <v>456298</v>
      </c>
    </row>
    <row r="34" spans="2:7" x14ac:dyDescent="0.3">
      <c r="B34" s="12" t="s">
        <v>57</v>
      </c>
      <c r="C34" s="18"/>
      <c r="D34" s="18"/>
      <c r="E34" s="18"/>
      <c r="F34" s="18"/>
      <c r="G34" s="18"/>
    </row>
    <row r="35" spans="2:7" x14ac:dyDescent="0.3">
      <c r="B35" s="12" t="s">
        <v>58</v>
      </c>
      <c r="C35" s="18"/>
      <c r="D35" s="18"/>
      <c r="E35" s="18"/>
      <c r="F35" s="18"/>
      <c r="G35" s="18"/>
    </row>
    <row r="36" spans="2:7" x14ac:dyDescent="0.3">
      <c r="B36" s="12" t="s">
        <v>59</v>
      </c>
      <c r="C36" s="18"/>
      <c r="D36" s="18"/>
      <c r="E36" s="18"/>
      <c r="F36" s="18"/>
      <c r="G36" s="18"/>
    </row>
    <row r="37" spans="2:7" x14ac:dyDescent="0.3">
      <c r="B37" s="12" t="s">
        <v>60</v>
      </c>
      <c r="C37" s="18">
        <v>636754.75</v>
      </c>
      <c r="D37" s="18">
        <v>657754.75</v>
      </c>
      <c r="E37" s="18">
        <v>719354.75</v>
      </c>
      <c r="F37" s="18">
        <v>752354.75</v>
      </c>
      <c r="G37" s="18">
        <v>761474.75</v>
      </c>
    </row>
    <row r="38" spans="2:7" x14ac:dyDescent="0.3">
      <c r="B38" s="12" t="s">
        <v>61</v>
      </c>
      <c r="C38" s="18">
        <v>1137277.07</v>
      </c>
      <c r="D38" s="18">
        <v>1449175.03</v>
      </c>
      <c r="E38" s="18">
        <v>2397650.98</v>
      </c>
      <c r="F38" s="18">
        <v>2747650.98</v>
      </c>
      <c r="G38" s="18">
        <v>2121468.98</v>
      </c>
    </row>
    <row r="39" spans="2:7" x14ac:dyDescent="0.3">
      <c r="B39" s="12" t="s">
        <v>62</v>
      </c>
      <c r="C39" s="18">
        <v>3368825.78</v>
      </c>
      <c r="D39" s="18">
        <v>3493557.77</v>
      </c>
      <c r="E39" s="18">
        <v>3098615.11</v>
      </c>
      <c r="F39" s="18">
        <v>3409022.18</v>
      </c>
      <c r="G39" s="18">
        <v>2757936.15</v>
      </c>
    </row>
    <row r="40" spans="2:7" x14ac:dyDescent="0.3">
      <c r="B40" s="12" t="s">
        <v>63</v>
      </c>
      <c r="C40" s="18"/>
      <c r="D40" s="18"/>
      <c r="E40" s="18"/>
      <c r="F40" s="18"/>
      <c r="G40" s="18"/>
    </row>
    <row r="41" spans="2:7" x14ac:dyDescent="0.3">
      <c r="B41" s="12" t="s">
        <v>64</v>
      </c>
      <c r="C41" s="18">
        <v>41897.96</v>
      </c>
      <c r="D41" s="18"/>
      <c r="E41" s="18"/>
      <c r="F41" s="18"/>
      <c r="G41" s="18"/>
    </row>
    <row r="42" spans="2:7" x14ac:dyDescent="0.3">
      <c r="B42" s="12" t="s">
        <v>65</v>
      </c>
      <c r="C42" s="18"/>
      <c r="D42" s="18"/>
      <c r="E42" s="18"/>
      <c r="F42" s="18">
        <v>257751.09</v>
      </c>
      <c r="G42" s="18">
        <v>1224992.8500000001</v>
      </c>
    </row>
    <row r="43" spans="2:7" x14ac:dyDescent="0.3">
      <c r="B43" s="12" t="s">
        <v>66</v>
      </c>
      <c r="C43" s="18">
        <f>+'Demonstração de Resultados'!C31</f>
        <v>415731.99</v>
      </c>
      <c r="D43" s="18">
        <f>+'Demonstração de Resultados'!D31</f>
        <v>615133.29</v>
      </c>
      <c r="E43" s="18">
        <f>+'Demonstração de Resultados'!E31</f>
        <v>657714.93999999994</v>
      </c>
      <c r="F43" s="18">
        <f>+'Demonstração de Resultados'!F31</f>
        <v>182361.3</v>
      </c>
      <c r="G43" s="18">
        <f>+'Demonstração de Resultados'!G31</f>
        <v>1271951.21</v>
      </c>
    </row>
    <row r="44" spans="2:7" x14ac:dyDescent="0.3">
      <c r="B44" s="12" t="s">
        <v>67</v>
      </c>
      <c r="C44" s="18"/>
      <c r="D44" s="18"/>
      <c r="E44" s="18"/>
      <c r="F44" s="18"/>
      <c r="G44" s="18"/>
    </row>
    <row r="45" spans="2:7" x14ac:dyDescent="0.3">
      <c r="B45" s="12" t="s">
        <v>68</v>
      </c>
      <c r="C45" s="18"/>
      <c r="D45" s="18"/>
      <c r="E45" s="18"/>
      <c r="F45" s="18"/>
      <c r="G45" s="18"/>
    </row>
    <row r="46" spans="2:7" x14ac:dyDescent="0.3">
      <c r="B46" s="16" t="s">
        <v>69</v>
      </c>
      <c r="C46" s="17">
        <f>+ROUNDDOWN(SUM(C33:C45),2)</f>
        <v>6099285.5499999998</v>
      </c>
      <c r="D46" s="17">
        <f>+ROUNDDOWN(SUM(D33:D45),2)</f>
        <v>6714418.8399999999</v>
      </c>
      <c r="E46" s="17">
        <f>+ROUNDDOWN(SUM(E33:E45),2)</f>
        <v>7372133.7800000003</v>
      </c>
      <c r="F46" s="17">
        <f>+ROUNDDOWN(SUM(F33:F45),2)</f>
        <v>7847938.2999999998</v>
      </c>
      <c r="G46" s="17">
        <f>+ROUNDDOWN(SUM(G33:G45),2)</f>
        <v>8594121.9399999995</v>
      </c>
    </row>
    <row r="47" spans="2:7" x14ac:dyDescent="0.3">
      <c r="B47" s="11" t="s">
        <v>70</v>
      </c>
      <c r="C47" s="19"/>
      <c r="D47" s="19"/>
      <c r="E47" s="19"/>
      <c r="F47" s="19"/>
      <c r="G47" s="19"/>
    </row>
    <row r="48" spans="2:7" x14ac:dyDescent="0.3">
      <c r="B48" s="11" t="s">
        <v>71</v>
      </c>
      <c r="C48" s="17">
        <f>+ROUNDDOWN(SUM(C49:C53),2)</f>
        <v>533870.43000000005</v>
      </c>
      <c r="D48" s="17">
        <f>+ROUNDDOWN(SUM(D49:D53),2)</f>
        <v>442377.5</v>
      </c>
      <c r="E48" s="17">
        <f>+ROUNDDOWN(SUM(E49:E53),2)</f>
        <v>165115.12</v>
      </c>
      <c r="F48" s="17">
        <f>+ROUNDDOWN(SUM(F49:F53),2)</f>
        <v>1686867.9</v>
      </c>
      <c r="G48" s="17">
        <f>+ROUNDDOWN(SUM(G49:G53),2)</f>
        <v>3141375.44</v>
      </c>
    </row>
    <row r="49" spans="2:9" x14ac:dyDescent="0.3">
      <c r="B49" s="12" t="s">
        <v>72</v>
      </c>
      <c r="C49" s="18"/>
      <c r="D49" s="18"/>
      <c r="E49" s="18"/>
      <c r="F49" s="18"/>
      <c r="G49" s="18"/>
      <c r="I49" s="20"/>
    </row>
    <row r="50" spans="2:9" x14ac:dyDescent="0.3">
      <c r="B50" s="12" t="s">
        <v>73</v>
      </c>
      <c r="C50" s="18">
        <v>533870.43000000005</v>
      </c>
      <c r="D50" s="18">
        <v>442377.5</v>
      </c>
      <c r="E50" s="18">
        <v>165115.12</v>
      </c>
      <c r="F50" s="18">
        <v>1686867.9</v>
      </c>
      <c r="G50" s="18">
        <v>3141375.44</v>
      </c>
      <c r="I50" s="20"/>
    </row>
    <row r="51" spans="2:9" x14ac:dyDescent="0.3">
      <c r="B51" s="12" t="s">
        <v>74</v>
      </c>
      <c r="C51" s="18"/>
      <c r="D51" s="18"/>
      <c r="E51" s="18"/>
      <c r="F51" s="18"/>
      <c r="G51" s="18"/>
      <c r="I51" s="20"/>
    </row>
    <row r="52" spans="2:9" x14ac:dyDescent="0.3">
      <c r="B52" s="12" t="s">
        <v>75</v>
      </c>
      <c r="C52" s="18"/>
      <c r="D52" s="18"/>
      <c r="E52" s="18"/>
      <c r="F52" s="18"/>
      <c r="G52" s="18"/>
    </row>
    <row r="53" spans="2:9" x14ac:dyDescent="0.3">
      <c r="B53" s="12" t="s">
        <v>76</v>
      </c>
      <c r="C53" s="18"/>
      <c r="D53" s="18"/>
      <c r="E53" s="18"/>
      <c r="F53" s="18"/>
      <c r="G53" s="18"/>
    </row>
    <row r="54" spans="2:9" x14ac:dyDescent="0.3">
      <c r="B54" s="11" t="s">
        <v>77</v>
      </c>
      <c r="C54" s="17">
        <f>+ROUNDDOWN(SUM(C55:C65),2)</f>
        <v>2222193.96</v>
      </c>
      <c r="D54" s="17">
        <f>+ROUNDDOWN(SUM(D55:D65),2)</f>
        <v>2035763.22</v>
      </c>
      <c r="E54" s="17">
        <f>+ROUNDDOWN(SUM(E55:E65),2)</f>
        <v>2172362.0099999998</v>
      </c>
      <c r="F54" s="17">
        <f>+ROUNDDOWN(SUM(F55:F65),2)</f>
        <v>4473395.83</v>
      </c>
      <c r="G54" s="17">
        <f>+ROUNDDOWN(SUM(G55:G65),2)</f>
        <v>3121695.25</v>
      </c>
    </row>
    <row r="55" spans="2:9" x14ac:dyDescent="0.3">
      <c r="B55" s="12" t="s">
        <v>78</v>
      </c>
      <c r="C55" s="18">
        <v>1344883.64</v>
      </c>
      <c r="D55" s="18">
        <v>1099767.49</v>
      </c>
      <c r="E55" s="18">
        <v>899082.86</v>
      </c>
      <c r="F55" s="18">
        <v>1847614.11</v>
      </c>
      <c r="G55" s="18">
        <v>1516794.2</v>
      </c>
    </row>
    <row r="56" spans="2:9" x14ac:dyDescent="0.3">
      <c r="B56" s="12" t="s">
        <v>79</v>
      </c>
      <c r="C56" s="18"/>
      <c r="D56" s="18"/>
      <c r="E56" s="18"/>
      <c r="F56" s="18"/>
      <c r="G56" s="18"/>
    </row>
    <row r="57" spans="2:9" x14ac:dyDescent="0.3">
      <c r="B57" s="12" t="s">
        <v>80</v>
      </c>
      <c r="C57" s="18">
        <v>79001.38</v>
      </c>
      <c r="D57" s="18">
        <v>85723.12</v>
      </c>
      <c r="E57" s="18">
        <v>84211.96</v>
      </c>
      <c r="F57" s="18">
        <v>101082.18</v>
      </c>
      <c r="G57" s="18">
        <v>120957.51</v>
      </c>
    </row>
    <row r="58" spans="2:9" x14ac:dyDescent="0.3">
      <c r="B58" s="12" t="s">
        <v>39</v>
      </c>
      <c r="C58" s="18">
        <v>1003.56</v>
      </c>
      <c r="D58" s="18">
        <v>2987.39</v>
      </c>
      <c r="E58" s="18"/>
      <c r="F58" s="18"/>
      <c r="G58" s="18"/>
    </row>
    <row r="59" spans="2:9" x14ac:dyDescent="0.3">
      <c r="B59" s="12" t="s">
        <v>73</v>
      </c>
      <c r="C59" s="18">
        <v>261285.49</v>
      </c>
      <c r="D59" s="18">
        <v>298006.12</v>
      </c>
      <c r="E59" s="18">
        <v>277262.38</v>
      </c>
      <c r="F59" s="18">
        <v>80590.22</v>
      </c>
      <c r="G59" s="18">
        <v>760394.83</v>
      </c>
    </row>
    <row r="60" spans="2:9" x14ac:dyDescent="0.3">
      <c r="B60" s="12" t="s">
        <v>76</v>
      </c>
      <c r="C60" s="18">
        <v>536019.89</v>
      </c>
      <c r="D60" s="18">
        <v>549279.1</v>
      </c>
      <c r="E60" s="18">
        <v>911804.81</v>
      </c>
      <c r="F60" s="18">
        <v>2444109.3199999998</v>
      </c>
      <c r="G60" s="18">
        <v>723548.71</v>
      </c>
    </row>
    <row r="61" spans="2:9" x14ac:dyDescent="0.3">
      <c r="B61" s="12" t="s">
        <v>49</v>
      </c>
      <c r="C61" s="18"/>
      <c r="D61" s="18"/>
      <c r="E61" s="18"/>
      <c r="F61" s="18"/>
      <c r="G61" s="18"/>
    </row>
    <row r="62" spans="2:9" x14ac:dyDescent="0.3">
      <c r="B62" s="12" t="s">
        <v>81</v>
      </c>
      <c r="C62" s="18"/>
      <c r="D62" s="18"/>
      <c r="E62" s="18"/>
      <c r="F62" s="18"/>
      <c r="G62" s="18"/>
    </row>
    <row r="63" spans="2:9" x14ac:dyDescent="0.3">
      <c r="B63" s="12" t="s">
        <v>82</v>
      </c>
      <c r="C63" s="18"/>
      <c r="D63" s="18"/>
      <c r="E63" s="18"/>
      <c r="F63" s="18"/>
      <c r="G63" s="18"/>
    </row>
    <row r="64" spans="2:9" x14ac:dyDescent="0.3">
      <c r="B64" s="12" t="s">
        <v>83</v>
      </c>
      <c r="C64" s="18"/>
      <c r="D64" s="18"/>
      <c r="E64" s="18"/>
      <c r="F64" s="18"/>
      <c r="G64" s="18"/>
    </row>
    <row r="65" spans="2:7" x14ac:dyDescent="0.3">
      <c r="B65" s="12" t="s">
        <v>84</v>
      </c>
      <c r="C65" s="18"/>
      <c r="D65" s="18"/>
      <c r="E65" s="18"/>
      <c r="F65" s="18"/>
      <c r="G65" s="18"/>
    </row>
    <row r="66" spans="2:7" x14ac:dyDescent="0.3">
      <c r="B66" s="16" t="s">
        <v>85</v>
      </c>
      <c r="C66" s="17">
        <f>+ROUNDDOWN(C48+C54,2)</f>
        <v>2756064.39</v>
      </c>
      <c r="D66" s="17">
        <f>+ROUNDDOWN(D48+D54,2)</f>
        <v>2478140.7200000002</v>
      </c>
      <c r="E66" s="17">
        <f>+ROUNDDOWN(E48+E54,2)</f>
        <v>2337477.13</v>
      </c>
      <c r="F66" s="17">
        <f>+ROUNDDOWN(F48+F54,2)</f>
        <v>6160263.7300000004</v>
      </c>
      <c r="G66" s="17">
        <f>+ROUNDDOWN(G48+G54,2)</f>
        <v>6263070.6900000004</v>
      </c>
    </row>
    <row r="67" spans="2:7" x14ac:dyDescent="0.3">
      <c r="B67" s="16" t="s">
        <v>86</v>
      </c>
      <c r="C67" s="17">
        <f>+ROUNDDOWN(C66+C46,2)</f>
        <v>8855349.9399999995</v>
      </c>
      <c r="D67" s="17">
        <f>+ROUNDDOWN(D66+D46,2)</f>
        <v>9192559.5600000005</v>
      </c>
      <c r="E67" s="17">
        <f>+ROUNDDOWN(E66+E46,2)</f>
        <v>9709610.9100000001</v>
      </c>
      <c r="F67" s="17">
        <f>+ROUNDDOWN(F66+F46,2)</f>
        <v>14008202.029999999</v>
      </c>
      <c r="G67" s="17">
        <f>+ROUNDDOWN(G66+G46,2)</f>
        <v>14857192.630000001</v>
      </c>
    </row>
    <row r="68" spans="2:7" x14ac:dyDescent="0.3">
      <c r="C68" s="20"/>
      <c r="D68" s="20"/>
      <c r="E68" s="20"/>
      <c r="F68" s="20"/>
      <c r="G68" s="20"/>
    </row>
  </sheetData>
  <mergeCells count="1">
    <mergeCell ref="B3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C1174-5565-49BB-A293-497DC86CD2A5}">
  <sheetPr codeName="Folha3"/>
  <dimension ref="A2:G57"/>
  <sheetViews>
    <sheetView workbookViewId="0">
      <selection activeCell="C6" sqref="C6"/>
    </sheetView>
  </sheetViews>
  <sheetFormatPr defaultRowHeight="14.4" x14ac:dyDescent="0.3"/>
  <cols>
    <col min="1" max="1" width="24.44140625" customWidth="1"/>
    <col min="2" max="2" width="43.44140625" bestFit="1" customWidth="1"/>
    <col min="10" max="10" width="10" bestFit="1" customWidth="1"/>
  </cols>
  <sheetData>
    <row r="2" spans="1:7" x14ac:dyDescent="0.3">
      <c r="A2" s="97"/>
      <c r="B2" s="97"/>
      <c r="C2" s="97"/>
      <c r="D2" s="97"/>
      <c r="E2" s="97"/>
      <c r="F2" s="97"/>
      <c r="G2" s="97"/>
    </row>
    <row r="3" spans="1:7" x14ac:dyDescent="0.3">
      <c r="A3" s="11" t="s">
        <v>91</v>
      </c>
      <c r="B3" s="11" t="s">
        <v>92</v>
      </c>
      <c r="C3" s="1">
        <v>2017</v>
      </c>
      <c r="D3" s="1">
        <v>2018</v>
      </c>
      <c r="E3" s="1">
        <v>2019</v>
      </c>
      <c r="F3" s="1">
        <v>2020</v>
      </c>
      <c r="G3" s="1">
        <v>2021</v>
      </c>
    </row>
    <row r="4" spans="1:7" x14ac:dyDescent="0.3">
      <c r="A4" s="118" t="s">
        <v>160</v>
      </c>
      <c r="B4" s="118"/>
      <c r="C4" s="118"/>
      <c r="D4" s="118"/>
      <c r="E4" s="118"/>
      <c r="F4" s="118"/>
      <c r="G4" s="118"/>
    </row>
    <row r="5" spans="1:7" x14ac:dyDescent="0.3">
      <c r="A5" s="21" t="s">
        <v>96</v>
      </c>
      <c r="B5" s="5" t="s">
        <v>97</v>
      </c>
      <c r="C5" s="22">
        <f>+'Demonstração de Resultados'!C23/'Demonstração de Resultados'!C5</f>
        <v>8.4831708091884714E-2</v>
      </c>
      <c r="D5" s="22">
        <f>+'Demonstração de Resultados'!D23/'Demonstração de Resultados'!D5</f>
        <v>0.10916296336326162</v>
      </c>
      <c r="E5" s="22">
        <f>+'Demonstração de Resultados'!E23/'Demonstração de Resultados'!E5</f>
        <v>9.4553430696491886E-2</v>
      </c>
      <c r="F5" s="22">
        <f>+'Demonstração de Resultados'!F23/'Demonstração de Resultados'!F5</f>
        <v>5.3908954454453852E-2</v>
      </c>
      <c r="G5" s="22">
        <f>+'Demonstração de Resultados'!G23/'Demonstração de Resultados'!G5</f>
        <v>0.18201777115387138</v>
      </c>
    </row>
    <row r="6" spans="1:7" x14ac:dyDescent="0.3">
      <c r="A6" s="21" t="s">
        <v>95</v>
      </c>
      <c r="B6" s="5" t="s">
        <v>98</v>
      </c>
      <c r="C6" s="22">
        <f>+('Demonstração de Resultados'!C5-'Demonstração de Resultados'!C10)/'Demonstração de Resultados'!C5</f>
        <v>0.42098864618320297</v>
      </c>
      <c r="D6" s="22">
        <f>+('Demonstração de Resultados'!D5-'Demonstração de Resultados'!D10)/'Demonstração de Resultados'!D5</f>
        <v>0.38431359941972343</v>
      </c>
      <c r="E6" s="22">
        <f>+('Demonstração de Resultados'!E5-'Demonstração de Resultados'!E10)/'Demonstração de Resultados'!E5</f>
        <v>0.42194310318420136</v>
      </c>
      <c r="F6" s="22">
        <f>+('Demonstração de Resultados'!F5-'Demonstração de Resultados'!F10)/'Demonstração de Resultados'!F5</f>
        <v>0.40476953407076688</v>
      </c>
      <c r="G6" s="22">
        <f>+('Demonstração de Resultados'!G5-'Demonstração de Resultados'!G10)/'Demonstração de Resultados'!G5</f>
        <v>0.44951075206217089</v>
      </c>
    </row>
    <row r="7" spans="1:7" x14ac:dyDescent="0.3">
      <c r="A7" s="21" t="s">
        <v>99</v>
      </c>
      <c r="B7" s="5" t="s">
        <v>100</v>
      </c>
      <c r="C7" s="22">
        <f>+'Demonstração de Resultados'!C31/'Demonstração de Resultados'!C5</f>
        <v>4.4651377108608711E-2</v>
      </c>
      <c r="D7" s="22">
        <f>+'Demonstração de Resultados'!D31/'Demonstração de Resultados'!D5</f>
        <v>7.0914748862189417E-2</v>
      </c>
      <c r="E7" s="22">
        <f>+'Demonstração de Resultados'!E31/'Demonstração de Resultados'!E5</f>
        <v>6.8964427259887051E-2</v>
      </c>
      <c r="F7" s="22">
        <f>+'Demonstração de Resultados'!F31/'Demonstração de Resultados'!F5</f>
        <v>2.0072413721197713E-2</v>
      </c>
      <c r="G7" s="22">
        <f>+'Demonstração de Resultados'!G31/'Demonstração de Resultados'!G5</f>
        <v>9.9366762966935196E-2</v>
      </c>
    </row>
    <row r="8" spans="1:7" ht="18.75" customHeight="1" x14ac:dyDescent="0.3">
      <c r="A8" s="21" t="s">
        <v>90</v>
      </c>
      <c r="B8" s="5" t="s">
        <v>141</v>
      </c>
      <c r="C8" s="23">
        <f>+'Demonstração de Resultados'!C36/'Demonstração de Resultados'!C35</f>
        <v>0.33498891945565801</v>
      </c>
      <c r="D8" s="23">
        <f>+'Demonstração de Resultados'!D36/'Demonstração de Resultados'!D35</f>
        <v>0.3112095886348043</v>
      </c>
      <c r="E8" s="23">
        <f>+'Demonstração de Resultados'!E36/'Demonstração de Resultados'!E35</f>
        <v>0.32109557003397066</v>
      </c>
      <c r="F8" s="23">
        <f>+'Demonstração de Resultados'!F36/'Demonstração de Resultados'!F35</f>
        <v>0.28613804815694566</v>
      </c>
      <c r="G8" s="23">
        <f>+'Demonstração de Resultados'!G36/'Demonstração de Resultados'!G35</f>
        <v>0.37059793923453527</v>
      </c>
    </row>
    <row r="9" spans="1:7" x14ac:dyDescent="0.3">
      <c r="A9" s="25" t="s">
        <v>103</v>
      </c>
      <c r="B9" s="26" t="s">
        <v>104</v>
      </c>
      <c r="C9" s="22">
        <f>+'Demonstração de Resultados'!C31/Balanço!C31</f>
        <v>4.694698603858901E-2</v>
      </c>
      <c r="D9" s="22">
        <f>+'Demonstração de Resultados'!D31/Balanço!D31</f>
        <v>6.6916432358693365E-2</v>
      </c>
      <c r="E9" s="22">
        <f>+'Demonstração de Resultados'!E31/Balanço!E31</f>
        <v>6.7738547517142464E-2</v>
      </c>
      <c r="F9" s="22">
        <f>+'Demonstração de Resultados'!F31/Balanço!F31</f>
        <v>1.3018180321032963E-2</v>
      </c>
      <c r="G9" s="22">
        <f>+'Demonstração de Resultados'!G31/Balanço!G31</f>
        <v>8.561181386526856E-2</v>
      </c>
    </row>
    <row r="10" spans="1:7" x14ac:dyDescent="0.3">
      <c r="A10" s="117" t="s">
        <v>161</v>
      </c>
      <c r="B10" s="117"/>
      <c r="C10" s="117"/>
      <c r="D10" s="117"/>
      <c r="E10" s="117"/>
      <c r="F10" s="117"/>
      <c r="G10" s="117"/>
    </row>
    <row r="11" spans="1:7" x14ac:dyDescent="0.3">
      <c r="A11" s="21" t="s">
        <v>101</v>
      </c>
      <c r="B11" s="5" t="s">
        <v>106</v>
      </c>
      <c r="C11" s="22">
        <f>+'Demonstração de Resultados'!C5/Balanço!C31</f>
        <v>1.0514118282264067</v>
      </c>
      <c r="D11" s="22">
        <f>+'Demonstração de Resultados'!D5/Balanço!D31</f>
        <v>0.94361798402098129</v>
      </c>
      <c r="E11" s="22">
        <f>+'Demonstração de Resultados'!E5/Balanço!E31</f>
        <v>0.98222446279260833</v>
      </c>
      <c r="F11" s="22">
        <f>+'Demonstração de Resultados'!F5/Balanço!F31</f>
        <v>0.64856078107262993</v>
      </c>
      <c r="G11" s="22">
        <f>+'Demonstração de Resultados'!G5/Balanço!G31</f>
        <v>0.86157394393290576</v>
      </c>
    </row>
    <row r="12" spans="1:7" x14ac:dyDescent="0.3">
      <c r="A12" s="21" t="s">
        <v>109</v>
      </c>
      <c r="B12" s="5" t="s">
        <v>107</v>
      </c>
      <c r="C12" s="22">
        <f>+'Demonstração de Resultados'!C12/'Demonstração de Resultados'!C5</f>
        <v>0.23302754026037881</v>
      </c>
      <c r="D12" s="22">
        <f>+'Demonstração de Resultados'!D12/'Demonstração de Resultados'!D5</f>
        <v>0.23905654424290027</v>
      </c>
      <c r="E12" s="22">
        <f>+'Demonstração de Resultados'!E12/'Demonstração de Resultados'!E5</f>
        <v>0.22054066073336789</v>
      </c>
      <c r="F12" s="22">
        <f>+'Demonstração de Resultados'!F12/'Demonstração de Resultados'!F5</f>
        <v>0.2344247476391596</v>
      </c>
      <c r="G12" s="22">
        <f>+'Demonstração de Resultados'!G12/'Demonstração de Resultados'!G5</f>
        <v>0.20130980104280588</v>
      </c>
    </row>
    <row r="13" spans="1:7" x14ac:dyDescent="0.3">
      <c r="A13" s="21" t="s">
        <v>110</v>
      </c>
      <c r="B13" s="5" t="s">
        <v>108</v>
      </c>
      <c r="C13" s="22">
        <f>+'Demonstração de Resultados'!C11/'Demonstração de Resultados'!C5</f>
        <v>8.6147442214230194E-2</v>
      </c>
      <c r="D13" s="22">
        <f>+'Demonstração de Resultados'!D11/'Demonstração de Resultados'!D5</f>
        <v>8.7179918050274086E-2</v>
      </c>
      <c r="E13" s="22">
        <f>+'Demonstração de Resultados'!E11/'Demonstração de Resultados'!E5</f>
        <v>9.2108303554561219E-2</v>
      </c>
      <c r="F13" s="22">
        <f>+'Demonstração de Resultados'!F11/'Demonstração de Resultados'!F5</f>
        <v>0.12904371320848471</v>
      </c>
      <c r="G13" s="22">
        <f>+'Demonstração de Resultados'!G11/'Demonstração de Resultados'!G5</f>
        <v>9.99016672698885E-2</v>
      </c>
    </row>
    <row r="14" spans="1:7" x14ac:dyDescent="0.3">
      <c r="A14" s="27" t="s">
        <v>112</v>
      </c>
      <c r="B14" s="9" t="s">
        <v>113</v>
      </c>
      <c r="C14" s="22">
        <f>+'Demonstração de Resultados'!C10/'Demonstração de Resultados'!C5</f>
        <v>0.57901135381679703</v>
      </c>
      <c r="D14" s="22">
        <f>+'Demonstração de Resultados'!D10/'Demonstração de Resultados'!D5</f>
        <v>0.61568640058027657</v>
      </c>
      <c r="E14" s="22">
        <f>+'Demonstração de Resultados'!E10/'Demonstração de Resultados'!E5</f>
        <v>0.57805689681579864</v>
      </c>
      <c r="F14" s="22">
        <f>+'Demonstração de Resultados'!F10/'Demonstração de Resultados'!F5</f>
        <v>0.59523046592923312</v>
      </c>
      <c r="G14" s="22">
        <f>+'Demonstração de Resultados'!G10/'Demonstração de Resultados'!G5</f>
        <v>0.55048924793782905</v>
      </c>
    </row>
    <row r="15" spans="1:7" x14ac:dyDescent="0.3">
      <c r="A15" s="21" t="s">
        <v>111</v>
      </c>
      <c r="B15" s="5" t="s">
        <v>105</v>
      </c>
      <c r="C15" s="22">
        <f>+('Demonstração de Resultados'!C10+'Demonstração de Resultados'!C11+'Demonstração de Resultados'!C12)/'Demonstração de Resultados'!C5</f>
        <v>0.8981863362914061</v>
      </c>
      <c r="D15" s="22">
        <f>+('Demonstração de Resultados'!D10+'Demonstração de Resultados'!D11+'Demonstração de Resultados'!D12)/'Demonstração de Resultados'!D5</f>
        <v>0.94192286287345095</v>
      </c>
      <c r="E15" s="22">
        <f>+('Demonstração de Resultados'!E10+'Demonstração de Resultados'!E11+'Demonstração de Resultados'!E12)/'Demonstração de Resultados'!E5</f>
        <v>0.89070586110372774</v>
      </c>
      <c r="F15" s="22">
        <f>+('Demonstração de Resultados'!F10+'Demonstração de Resultados'!F11+'Demonstração de Resultados'!F12)/'Demonstração de Resultados'!F5</f>
        <v>0.95869892677687751</v>
      </c>
      <c r="G15" s="22">
        <f>+('Demonstração de Resultados'!G10+'Demonstração de Resultados'!G11+'Demonstração de Resultados'!G12)/'Demonstração de Resultados'!G5</f>
        <v>0.85170071625052346</v>
      </c>
    </row>
    <row r="16" spans="1:7" x14ac:dyDescent="0.3">
      <c r="A16" s="21" t="s">
        <v>114</v>
      </c>
      <c r="B16" s="5" t="s">
        <v>116</v>
      </c>
      <c r="C16" s="28">
        <f>+(Balanço!C55/(('Demonstração de Resultados'!C10+'Demonstração de Resultados'!C11)*1.23))*365</f>
        <v>64.441929962468592</v>
      </c>
      <c r="D16" s="28">
        <f>+(Balanço!D55/(('Demonstração de Resultados'!D10+'Demonstração de Resultados'!D11)*1.23))*365</f>
        <v>53.528273552540981</v>
      </c>
      <c r="E16" s="28">
        <f>+(Balanço!E55/(('Demonstração de Resultados'!E10+'Demonstração de Resultados'!E11)*1.23))*365</f>
        <v>41.743900420711832</v>
      </c>
      <c r="F16" s="28">
        <f>+(Balanço!F55/(('Demonstração de Resultados'!F10+'Demonstração de Resultados'!F11)*1.23))*365</f>
        <v>83.322624516067137</v>
      </c>
      <c r="G16" s="28">
        <f>+(Balanço!G55/(('Demonstração de Resultados'!G10+'Demonstração de Resultados'!G11)*1.23))*365</f>
        <v>54.06430636326192</v>
      </c>
    </row>
    <row r="17" spans="1:7" x14ac:dyDescent="0.3">
      <c r="A17" s="21" t="s">
        <v>115</v>
      </c>
      <c r="B17" s="5" t="s">
        <v>117</v>
      </c>
      <c r="C17" s="29">
        <f>+(Balanço!C20/('Demonstração de Resultados'!C5*1.23))*365</f>
        <v>54.73664247762698</v>
      </c>
      <c r="D17" s="29">
        <f>+(Balanço!D20/('Demonstração de Resultados'!D5*1.23))*365</f>
        <v>40.050145350812791</v>
      </c>
      <c r="E17" s="29">
        <f>+(Balanço!E20/('Demonstração de Resultados'!E5*1.23))*365</f>
        <v>52.354435125686585</v>
      </c>
      <c r="F17" s="29">
        <f>+(Balanço!F20/('Demonstração de Resultados'!F5*1.23))*365</f>
        <v>65.047193907417494</v>
      </c>
      <c r="G17" s="29">
        <f>+(Balanço!G20/('Demonstração de Resultados'!G5*1.23))*365</f>
        <v>58.301957775141851</v>
      </c>
    </row>
    <row r="18" spans="1:7" x14ac:dyDescent="0.3">
      <c r="A18" s="98" t="s">
        <v>460</v>
      </c>
      <c r="B18" s="99" t="s">
        <v>459</v>
      </c>
      <c r="C18" s="100">
        <v>21367.45</v>
      </c>
      <c r="D18" s="100">
        <v>19676.29</v>
      </c>
      <c r="E18" s="100">
        <v>23802.16</v>
      </c>
      <c r="F18" s="100">
        <v>19537.259999999998</v>
      </c>
      <c r="G18" s="100">
        <v>32899.730000000003</v>
      </c>
    </row>
    <row r="19" spans="1:7" x14ac:dyDescent="0.3">
      <c r="A19" s="98" t="s">
        <v>454</v>
      </c>
      <c r="B19" s="99" t="s">
        <v>458</v>
      </c>
      <c r="C19" s="101">
        <v>0.78659999999999997</v>
      </c>
      <c r="D19" s="101">
        <v>0.83740000000000003</v>
      </c>
      <c r="E19" s="101">
        <v>0.91239999999999999</v>
      </c>
      <c r="F19" s="101">
        <v>0.91290000000000004</v>
      </c>
      <c r="G19" s="101">
        <v>0.93379999999999996</v>
      </c>
    </row>
    <row r="20" spans="1:7" x14ac:dyDescent="0.3">
      <c r="A20" s="117" t="s">
        <v>118</v>
      </c>
      <c r="B20" s="117"/>
      <c r="C20" s="117"/>
      <c r="D20" s="117"/>
      <c r="E20" s="117"/>
      <c r="F20" s="117"/>
      <c r="G20" s="117"/>
    </row>
    <row r="21" spans="1:7" x14ac:dyDescent="0.3">
      <c r="A21" s="21" t="s">
        <v>119</v>
      </c>
      <c r="B21" s="5" t="s">
        <v>120</v>
      </c>
      <c r="C21" s="22">
        <f>+Balanço!C17/Balanço!C54</f>
        <v>3.3279040817841121</v>
      </c>
      <c r="D21" s="22">
        <f>+Balanço!D17/Balanço!D54</f>
        <v>3.6921379687761524</v>
      </c>
      <c r="E21" s="22">
        <f>+Balanço!E17/Balanço!E54</f>
        <v>3.3108491065906649</v>
      </c>
      <c r="F21" s="22">
        <f>+Balanço!F17/Balanço!F54</f>
        <v>1.550896543398441</v>
      </c>
      <c r="G21" s="22">
        <f>+Balanço!G17/Balanço!G54</f>
        <v>2.6558340888656571</v>
      </c>
    </row>
    <row r="22" spans="1:7" x14ac:dyDescent="0.3">
      <c r="A22" s="21" t="s">
        <v>121</v>
      </c>
      <c r="B22" s="5" t="s">
        <v>122</v>
      </c>
      <c r="C22" s="22">
        <f>+(Balanço!C17-Balanço!C18)/Balanço!C54</f>
        <v>2.9005202723168235</v>
      </c>
      <c r="D22" s="22">
        <f>+(Balanço!D17-Balanço!D18)/Balanço!D54</f>
        <v>3.1273952380375549</v>
      </c>
      <c r="E22" s="22">
        <f>+(Balanço!E17-Balanço!E18)/Balanço!E54</f>
        <v>2.9256799146473753</v>
      </c>
      <c r="F22" s="22">
        <f>+(Balanço!F17-Balanço!F18)/Balanço!F54</f>
        <v>1.3400343112494026</v>
      </c>
      <c r="G22" s="22">
        <f>+(Balanço!G17-Balanço!G18)/Balanço!G54</f>
        <v>1.6745807490337179</v>
      </c>
    </row>
    <row r="23" spans="1:7" x14ac:dyDescent="0.3">
      <c r="A23" s="21" t="s">
        <v>123</v>
      </c>
      <c r="B23" s="5" t="s">
        <v>124</v>
      </c>
      <c r="C23" s="23">
        <f>+Balanço!C30/Balanço!C54</f>
        <v>1.0688846665751894</v>
      </c>
      <c r="D23" s="23">
        <f>+Balanço!D30/Balanço!D54</f>
        <v>1.5355406804137075</v>
      </c>
      <c r="E23" s="23">
        <f>+Balanço!E30/Balanço!E54</f>
        <v>1.2045406373130232</v>
      </c>
      <c r="F23" s="23">
        <f>+Balanço!F30/Balanço!F54</f>
        <v>0.37435502549748656</v>
      </c>
      <c r="G23" s="23">
        <f>+Balanço!G30/Balanço!G54</f>
        <v>0.24765140991901755</v>
      </c>
    </row>
    <row r="24" spans="1:7" x14ac:dyDescent="0.3">
      <c r="A24" s="117" t="s">
        <v>125</v>
      </c>
      <c r="B24" s="117"/>
      <c r="C24" s="117"/>
      <c r="D24" s="117"/>
      <c r="E24" s="117"/>
      <c r="F24" s="117"/>
      <c r="G24" s="117"/>
    </row>
    <row r="25" spans="1:7" x14ac:dyDescent="0.3">
      <c r="A25" s="21" t="s">
        <v>94</v>
      </c>
      <c r="B25" s="5" t="s">
        <v>126</v>
      </c>
      <c r="C25" s="22">
        <f>+Balanço!C46/Balanço!C31</f>
        <v>0.68876843843847013</v>
      </c>
      <c r="D25" s="22">
        <f>+Balanço!D46/Balanço!D31</f>
        <v>0.73041885626901493</v>
      </c>
      <c r="E25" s="22">
        <f>+Balanço!E46/Balanço!E31</f>
        <v>0.75926150371354073</v>
      </c>
      <c r="F25" s="22">
        <f>+Balanço!F46/Balanço!F31</f>
        <v>0.56023880032518347</v>
      </c>
      <c r="G25" s="22">
        <f>+Balanço!G46/Balanço!G31</f>
        <v>0.5784485773339535</v>
      </c>
    </row>
    <row r="26" spans="1:7" x14ac:dyDescent="0.3">
      <c r="A26" s="21" t="s">
        <v>127</v>
      </c>
      <c r="B26" s="5" t="s">
        <v>128</v>
      </c>
      <c r="C26" s="22">
        <f>+Balanço!C66/Balanço!C31</f>
        <v>0.31123156156152992</v>
      </c>
      <c r="D26" s="22">
        <f>+Balanço!D66/Balanço!D31</f>
        <v>0.26958114373098496</v>
      </c>
      <c r="E26" s="22">
        <f>+Balanço!E66/Balanço!E31</f>
        <v>0.24073849628645932</v>
      </c>
      <c r="F26" s="22">
        <f>+Balanço!F66/Balanço!F31</f>
        <v>0.43976119967481658</v>
      </c>
      <c r="G26" s="22">
        <f>+Balanço!G66/Balanço!G31</f>
        <v>0.42155142266604645</v>
      </c>
    </row>
    <row r="27" spans="1:7" x14ac:dyDescent="0.3">
      <c r="A27" s="21" t="s">
        <v>129</v>
      </c>
      <c r="B27" s="5" t="s">
        <v>130</v>
      </c>
      <c r="C27" s="22">
        <f>+Balanço!C31/Balanço!C66</f>
        <v>3.2130417460965051</v>
      </c>
      <c r="D27" s="22">
        <f>+Balanço!D31/Balanço!D66</f>
        <v>3.7094582586900069</v>
      </c>
      <c r="E27" s="22">
        <f>+Balanço!E31/Balanço!E66</f>
        <v>4.1538848810041626</v>
      </c>
      <c r="F27" s="22">
        <f>+Balanço!F31/Balanço!F66</f>
        <v>2.273961415285056</v>
      </c>
      <c r="G27" s="22">
        <f>+Balanço!G31/Balanço!G66</f>
        <v>2.3721898355261897</v>
      </c>
    </row>
    <row r="28" spans="1:7" x14ac:dyDescent="0.3">
      <c r="A28" s="21" t="s">
        <v>131</v>
      </c>
      <c r="B28" s="5" t="s">
        <v>132</v>
      </c>
      <c r="C28" s="22">
        <f>+(Balanço!C50+Balanço!C59)/(Balanço!C46+Balanço!C50+Balanço!C59)</f>
        <v>0.11533289875039002</v>
      </c>
      <c r="D28" s="22">
        <f>+(Balanço!D50+Balanço!D59)/(Balanço!D46+Balanço!D50+Balanço!D59)</f>
        <v>9.9316329838738615E-2</v>
      </c>
      <c r="E28" s="22">
        <f>+(Balanço!E50+Balanço!E59)/(Balanço!E46+Balanço!E50+Balanço!E59)</f>
        <v>5.6609746169564677E-2</v>
      </c>
      <c r="F28" s="22">
        <f>+(Balanço!F50+Balanço!F59)/(Balanço!F46+Balanço!F50+Balanço!F59)</f>
        <v>0.18381541881348662</v>
      </c>
      <c r="G28" s="22">
        <f>+(Balanço!G50+Balanço!G59)/(Balanço!G46+Balanço!G50+Balanço!G59)</f>
        <v>0.31224423229879961</v>
      </c>
    </row>
    <row r="29" spans="1:7" x14ac:dyDescent="0.3">
      <c r="A29" s="117" t="s">
        <v>133</v>
      </c>
      <c r="B29" s="117"/>
      <c r="C29" s="117"/>
      <c r="D29" s="117"/>
      <c r="E29" s="117"/>
      <c r="F29" s="117"/>
      <c r="G29" s="117"/>
    </row>
    <row r="30" spans="1:7" x14ac:dyDescent="0.3">
      <c r="A30" s="21" t="s">
        <v>134</v>
      </c>
      <c r="B30" s="5" t="s">
        <v>136</v>
      </c>
      <c r="C30" s="22">
        <f>+('Demonstração de Resultados'!C26-'Demonstração de Resultados'!C30)/Balanço!C31</f>
        <v>4.888094574837322E-2</v>
      </c>
      <c r="D30" s="22">
        <f>+('Demonstração de Resultados'!D26-'Demonstração de Resultados'!D30)/Balanço!D31</f>
        <v>6.8153108599494347E-2</v>
      </c>
      <c r="E30" s="22">
        <f>+('Demonstração de Resultados'!E26-'Demonstração de Resultados'!E30)/Balanço!E31</f>
        <v>6.8476970515392158E-2</v>
      </c>
      <c r="F30" s="22">
        <f>+('Demonstração de Resultados'!F26-'Demonstração de Resultados'!F30)/Balanço!F31</f>
        <v>1.3231124137349412E-2</v>
      </c>
      <c r="G30" s="22">
        <f>+('Demonstração de Resultados'!G26-'Demonstração de Resultados'!G30)/Balanço!G31</f>
        <v>8.7012361096377583E-2</v>
      </c>
    </row>
    <row r="31" spans="1:7" x14ac:dyDescent="0.3">
      <c r="A31" s="21" t="s">
        <v>135</v>
      </c>
      <c r="B31" s="5" t="s">
        <v>137</v>
      </c>
      <c r="C31" s="22">
        <f>+'Demonstração de Resultados'!C31/Balanço!C46</f>
        <v>6.8160768436231034E-2</v>
      </c>
      <c r="D31" s="22">
        <f>+'Demonstração de Resultados'!D31/Balanço!D46</f>
        <v>9.161377993512243E-2</v>
      </c>
      <c r="E31" s="22">
        <f>+'Demonstração de Resultados'!E31/Balanço!E46</f>
        <v>8.9216359825743677E-2</v>
      </c>
      <c r="F31" s="22">
        <f>+'Demonstração de Resultados'!F31/Balanço!F46</f>
        <v>2.3236841706566425E-2</v>
      </c>
      <c r="G31" s="22">
        <f>+'Demonstração de Resultados'!G31/Balanço!G46</f>
        <v>0.14800246248309576</v>
      </c>
    </row>
    <row r="32" spans="1:7" x14ac:dyDescent="0.3">
      <c r="A32" s="21"/>
      <c r="B32" s="5"/>
      <c r="C32" s="18"/>
      <c r="D32" s="18"/>
      <c r="E32" s="18"/>
      <c r="F32" s="18"/>
      <c r="G32" s="18"/>
    </row>
    <row r="33" spans="1:7" x14ac:dyDescent="0.3">
      <c r="A33" s="21"/>
      <c r="B33" s="5"/>
      <c r="C33" s="18"/>
      <c r="D33" s="18"/>
      <c r="E33" s="18"/>
      <c r="F33" s="18"/>
      <c r="G33" s="18"/>
    </row>
    <row r="34" spans="1:7" x14ac:dyDescent="0.3">
      <c r="A34" s="21"/>
      <c r="B34" s="5"/>
      <c r="C34" s="18"/>
      <c r="D34" s="18"/>
      <c r="E34" s="18"/>
      <c r="F34" s="18"/>
      <c r="G34" s="18"/>
    </row>
    <row r="35" spans="1:7" x14ac:dyDescent="0.3">
      <c r="A35" s="21"/>
      <c r="B35" s="5"/>
      <c r="C35" s="18"/>
      <c r="D35" s="18"/>
      <c r="E35" s="18"/>
      <c r="F35" s="18"/>
      <c r="G35" s="18"/>
    </row>
    <row r="36" spans="1:7" x14ac:dyDescent="0.3">
      <c r="A36" s="21"/>
      <c r="B36" s="5"/>
      <c r="C36" s="18"/>
      <c r="D36" s="18"/>
      <c r="E36" s="18"/>
      <c r="F36" s="18"/>
      <c r="G36" s="18"/>
    </row>
    <row r="37" spans="1:7" x14ac:dyDescent="0.3">
      <c r="A37" s="21"/>
      <c r="B37" s="5"/>
      <c r="C37" s="18"/>
      <c r="D37" s="18"/>
      <c r="E37" s="18"/>
      <c r="F37" s="18"/>
      <c r="G37" s="18"/>
    </row>
    <row r="38" spans="1:7" x14ac:dyDescent="0.3">
      <c r="A38" s="21"/>
      <c r="B38" s="5"/>
      <c r="C38" s="18"/>
      <c r="D38" s="18"/>
      <c r="E38" s="18"/>
      <c r="F38" s="18"/>
      <c r="G38" s="18"/>
    </row>
    <row r="39" spans="1:7" x14ac:dyDescent="0.3">
      <c r="A39" s="21"/>
      <c r="B39" s="5"/>
      <c r="C39" s="18"/>
      <c r="D39" s="18"/>
      <c r="E39" s="18"/>
      <c r="F39" s="18"/>
      <c r="G39" s="18"/>
    </row>
    <row r="40" spans="1:7" x14ac:dyDescent="0.3">
      <c r="A40" s="21"/>
      <c r="B40" s="5"/>
      <c r="C40" s="18"/>
      <c r="D40" s="18"/>
      <c r="E40" s="18"/>
      <c r="F40" s="18"/>
      <c r="G40" s="18"/>
    </row>
    <row r="41" spans="1:7" x14ac:dyDescent="0.3">
      <c r="A41" s="21"/>
      <c r="B41" s="5"/>
      <c r="C41" s="18"/>
      <c r="D41" s="18"/>
      <c r="E41" s="18"/>
      <c r="F41" s="18"/>
      <c r="G41" s="18"/>
    </row>
    <row r="42" spans="1:7" x14ac:dyDescent="0.3">
      <c r="A42" s="21"/>
      <c r="B42" s="5"/>
      <c r="C42" s="18"/>
      <c r="D42" s="18"/>
      <c r="E42" s="18"/>
      <c r="F42" s="18"/>
      <c r="G42" s="18"/>
    </row>
    <row r="43" spans="1:7" x14ac:dyDescent="0.3">
      <c r="A43" s="21"/>
      <c r="B43" s="5"/>
      <c r="C43" s="18"/>
      <c r="D43" s="18"/>
      <c r="E43" s="18"/>
      <c r="F43" s="18"/>
      <c r="G43" s="18"/>
    </row>
    <row r="44" spans="1:7" x14ac:dyDescent="0.3">
      <c r="A44" s="21"/>
      <c r="B44" s="5"/>
      <c r="C44" s="18"/>
      <c r="D44" s="18"/>
      <c r="E44" s="18"/>
      <c r="F44" s="18"/>
      <c r="G44" s="18"/>
    </row>
    <row r="45" spans="1:7" x14ac:dyDescent="0.3">
      <c r="A45" s="21"/>
      <c r="B45" s="5"/>
      <c r="C45" s="18"/>
      <c r="D45" s="18"/>
      <c r="E45" s="18"/>
      <c r="F45" s="18"/>
      <c r="G45" s="18"/>
    </row>
    <row r="46" spans="1:7" x14ac:dyDescent="0.3">
      <c r="A46" s="21"/>
      <c r="B46" s="5"/>
      <c r="C46" s="18"/>
      <c r="D46" s="18"/>
      <c r="E46" s="18"/>
      <c r="F46" s="18"/>
      <c r="G46" s="18"/>
    </row>
    <row r="47" spans="1:7" x14ac:dyDescent="0.3">
      <c r="A47" s="21"/>
      <c r="B47" s="5"/>
      <c r="C47" s="18"/>
      <c r="D47" s="18"/>
      <c r="E47" s="18"/>
      <c r="F47" s="18"/>
      <c r="G47" s="18"/>
    </row>
    <row r="48" spans="1:7" x14ac:dyDescent="0.3">
      <c r="A48" s="21"/>
      <c r="B48" s="5"/>
      <c r="C48" s="18"/>
      <c r="D48" s="18"/>
      <c r="E48" s="18"/>
      <c r="F48" s="18"/>
      <c r="G48" s="18"/>
    </row>
    <row r="49" spans="1:7" x14ac:dyDescent="0.3">
      <c r="A49" s="21"/>
      <c r="B49" s="5"/>
      <c r="C49" s="18"/>
      <c r="D49" s="18"/>
      <c r="E49" s="18"/>
      <c r="F49" s="18"/>
      <c r="G49" s="18"/>
    </row>
    <row r="50" spans="1:7" x14ac:dyDescent="0.3">
      <c r="A50" s="21"/>
      <c r="B50" s="5"/>
      <c r="C50" s="18"/>
      <c r="D50" s="18"/>
      <c r="E50" s="18"/>
      <c r="F50" s="18"/>
      <c r="G50" s="18"/>
    </row>
    <row r="51" spans="1:7" x14ac:dyDescent="0.3">
      <c r="A51" s="21"/>
      <c r="B51" s="5"/>
      <c r="C51" s="18"/>
      <c r="D51" s="18"/>
      <c r="E51" s="18"/>
      <c r="F51" s="18"/>
      <c r="G51" s="18"/>
    </row>
    <row r="52" spans="1:7" x14ac:dyDescent="0.3">
      <c r="A52" s="21"/>
      <c r="B52" s="5"/>
      <c r="C52" s="18"/>
      <c r="D52" s="18"/>
      <c r="E52" s="18"/>
      <c r="F52" s="18"/>
      <c r="G52" s="18"/>
    </row>
    <row r="53" spans="1:7" x14ac:dyDescent="0.3">
      <c r="A53" s="21"/>
      <c r="B53" s="5"/>
      <c r="C53" s="18"/>
      <c r="D53" s="18"/>
      <c r="E53" s="18"/>
      <c r="F53" s="18"/>
      <c r="G53" s="18"/>
    </row>
    <row r="54" spans="1:7" x14ac:dyDescent="0.3">
      <c r="A54" s="21"/>
      <c r="B54" s="5"/>
      <c r="C54" s="18"/>
      <c r="D54" s="18"/>
      <c r="E54" s="18"/>
      <c r="F54" s="18"/>
      <c r="G54" s="18"/>
    </row>
    <row r="55" spans="1:7" x14ac:dyDescent="0.3">
      <c r="A55" s="21"/>
      <c r="B55" s="5"/>
      <c r="C55" s="18"/>
      <c r="D55" s="18"/>
      <c r="E55" s="18"/>
      <c r="F55" s="18"/>
      <c r="G55" s="18"/>
    </row>
    <row r="56" spans="1:7" x14ac:dyDescent="0.3">
      <c r="A56" s="21"/>
      <c r="B56" s="5"/>
      <c r="C56" s="18"/>
      <c r="D56" s="18"/>
      <c r="E56" s="18"/>
      <c r="F56" s="18"/>
      <c r="G56" s="18"/>
    </row>
    <row r="57" spans="1:7" x14ac:dyDescent="0.3">
      <c r="A57" s="21"/>
      <c r="B57" s="5"/>
      <c r="C57" s="18"/>
      <c r="D57" s="18"/>
      <c r="E57" s="18"/>
      <c r="F57" s="18"/>
      <c r="G57" s="18"/>
    </row>
  </sheetData>
  <mergeCells count="5">
    <mergeCell ref="A29:G29"/>
    <mergeCell ref="A4:G4"/>
    <mergeCell ref="A10:G10"/>
    <mergeCell ref="A20:G20"/>
    <mergeCell ref="A24:G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040A9-5031-482C-BF30-9B610D1F9741}">
  <sheetPr codeName="Folha5"/>
  <dimension ref="A1:N106"/>
  <sheetViews>
    <sheetView topLeftCell="A36" zoomScaleNormal="100" workbookViewId="0">
      <selection activeCell="B58" sqref="B58"/>
    </sheetView>
  </sheetViews>
  <sheetFormatPr defaultRowHeight="14.4" x14ac:dyDescent="0.3"/>
  <cols>
    <col min="1" max="1" width="42.88671875" customWidth="1"/>
    <col min="2" max="2" width="26" bestFit="1" customWidth="1"/>
    <col min="3" max="3" width="26.6640625" customWidth="1"/>
    <col min="4" max="4" width="22" customWidth="1"/>
    <col min="5" max="5" width="28.6640625" customWidth="1"/>
    <col min="6" max="7" width="23.109375" customWidth="1"/>
    <col min="8" max="8" width="8.88671875" customWidth="1"/>
  </cols>
  <sheetData>
    <row r="1" spans="1:14" x14ac:dyDescent="0.3">
      <c r="A1" s="125"/>
      <c r="B1" s="125"/>
      <c r="C1" s="125"/>
      <c r="D1" s="125"/>
      <c r="E1" s="125"/>
      <c r="F1" s="125"/>
      <c r="G1" s="125"/>
      <c r="H1" s="125"/>
      <c r="I1" s="125"/>
      <c r="J1" s="125"/>
      <c r="K1" s="125"/>
    </row>
    <row r="2" spans="1:14" x14ac:dyDescent="0.3">
      <c r="B2" s="114" t="str">
        <f>_xlfn.CONCAT("Dados do Setor ", 'Rúbricas BP Todas as dimensões'!$B$6 )</f>
        <v>Dados do Setor Ativo</v>
      </c>
      <c r="C2" s="114"/>
      <c r="D2" s="114"/>
      <c r="E2" s="114"/>
      <c r="F2" s="114"/>
      <c r="G2" s="114"/>
      <c r="H2" s="75"/>
      <c r="I2" s="75"/>
      <c r="J2" s="75"/>
      <c r="K2" s="75"/>
      <c r="L2" s="75"/>
      <c r="M2" s="75"/>
      <c r="N2" s="75"/>
    </row>
    <row r="3" spans="1:14" x14ac:dyDescent="0.3">
      <c r="B3" s="11" t="s">
        <v>155</v>
      </c>
      <c r="C3" s="1">
        <v>2017</v>
      </c>
      <c r="D3" s="1">
        <v>2018</v>
      </c>
      <c r="E3" s="1">
        <v>2019</v>
      </c>
      <c r="F3" s="1">
        <v>2020</v>
      </c>
      <c r="G3" s="86">
        <v>2021</v>
      </c>
      <c r="H3" s="75"/>
      <c r="I3" s="75"/>
      <c r="J3" s="75"/>
      <c r="K3" s="75"/>
      <c r="L3" s="75"/>
      <c r="M3" s="75"/>
      <c r="N3" s="75"/>
    </row>
    <row r="4" spans="1:14" x14ac:dyDescent="0.3">
      <c r="B4" s="5" t="s">
        <v>142</v>
      </c>
      <c r="C4" s="35">
        <f>VLOOKUP($B4,'Rúbricas BP Todas as dimensões'!$B$6:'Rúbricas BP Todas as dimensões'!$AA$154,5,FALSE)</f>
        <v>0</v>
      </c>
      <c r="D4" s="35">
        <f>VLOOKUP($B4,'Rúbricas BP Todas as dimensões'!$B$6:'Rúbricas BP Todas as dimensões'!$AA$154,10,FALSE)</f>
        <v>3378000</v>
      </c>
      <c r="E4" s="35">
        <f>VLOOKUP($B4,'Rúbricas BP Todas as dimensões'!$B$6:'Rúbricas BP Todas as dimensões'!$AA$154,15,FALSE)</f>
        <v>2841000</v>
      </c>
      <c r="F4" s="35">
        <f>VLOOKUP($B4,'Rúbricas BP Todas as dimensões'!$B$6:'Rúbricas BP Todas as dimensões'!$AA$154,20,FALSE)</f>
        <v>2523000</v>
      </c>
      <c r="G4" s="87">
        <f>VLOOKUP($B4,'Rúbricas BP Todas as dimensões'!$B$6:'Rúbricas BP Todas as dimensões'!$AA$154,25,FALSE)</f>
        <v>4620000</v>
      </c>
    </row>
    <row r="5" spans="1:14" x14ac:dyDescent="0.3">
      <c r="B5" s="5" t="s">
        <v>143</v>
      </c>
      <c r="C5" s="35">
        <f>VLOOKUP($B5,'Rúbricas BP Todas as dimensões'!$B$6:'Rúbricas BP Todas as dimensões'!$AA$154,5,FALSE)</f>
        <v>0</v>
      </c>
      <c r="D5" s="35">
        <f>VLOOKUP($B5,'Rúbricas BP Todas as dimensões'!$B$6:'Rúbricas BP Todas as dimensões'!$AA$154,10,FALSE)</f>
        <v>267700</v>
      </c>
      <c r="E5" s="35">
        <f>VLOOKUP($B5,'Rúbricas BP Todas as dimensões'!$B$6:'Rúbricas BP Todas as dimensões'!$AA$154,15,FALSE)</f>
        <v>134300</v>
      </c>
      <c r="F5" s="35">
        <f>VLOOKUP($B5,'Rúbricas BP Todas as dimensões'!$B$6:'Rúbricas BP Todas as dimensões'!$AA$154,20,FALSE)</f>
        <v>139400</v>
      </c>
      <c r="G5" s="35">
        <f>VLOOKUP($B5,'Rúbricas BP Todas as dimensões'!$B$6:'Rúbricas BP Todas as dimensões'!$AA$154,25,FALSE)</f>
        <v>357400</v>
      </c>
    </row>
    <row r="6" spans="1:14" x14ac:dyDescent="0.3">
      <c r="B6" s="5" t="s">
        <v>144</v>
      </c>
      <c r="C6" s="35">
        <f>VLOOKUP($B6,'Rúbricas BP Todas as dimensões'!$B$6:'Rúbricas BP Todas as dimensões'!$AA$154,5,FALSE)</f>
        <v>0</v>
      </c>
      <c r="D6" s="35">
        <f>VLOOKUP($B6,'Rúbricas BP Todas as dimensões'!$B$6:'Rúbricas BP Todas as dimensões'!$AA$154,10,FALSE)</f>
        <v>2699000</v>
      </c>
      <c r="E6" s="35">
        <f>VLOOKUP($B6,'Rúbricas BP Todas as dimensões'!$B$6:'Rúbricas BP Todas as dimensões'!$AA$154,15,FALSE)</f>
        <v>2297000</v>
      </c>
      <c r="F6" s="35">
        <f>VLOOKUP($B6,'Rúbricas BP Todas as dimensões'!$B$6:'Rúbricas BP Todas as dimensões'!$AA$154,20,FALSE)</f>
        <v>1857000</v>
      </c>
      <c r="G6" s="35">
        <f>VLOOKUP($B6,'Rúbricas BP Todas as dimensões'!$B$6:'Rúbricas BP Todas as dimensões'!$AA$154,25,FALSE)</f>
        <v>3680000</v>
      </c>
    </row>
    <row r="7" spans="1:14" x14ac:dyDescent="0.3">
      <c r="B7" s="5" t="s">
        <v>145</v>
      </c>
      <c r="C7" s="35">
        <f>VLOOKUP($B7,'Rúbricas BP Todas as dimensões'!$B$6:'Rúbricas BP Todas as dimensões'!$AA$154,5,FALSE)</f>
        <v>0</v>
      </c>
      <c r="D7" s="35">
        <f>VLOOKUP($B7,'Rúbricas BP Todas as dimensões'!$B$6:'Rúbricas BP Todas as dimensões'!$AA$154,10,FALSE)</f>
        <v>173000</v>
      </c>
      <c r="E7" s="35">
        <f>VLOOKUP($B7,'Rúbricas BP Todas as dimensões'!$B$6:'Rúbricas BP Todas as dimensões'!$AA$154,15,FALSE)</f>
        <v>182900</v>
      </c>
      <c r="F7" s="35">
        <f>VLOOKUP($B7,'Rúbricas BP Todas as dimensões'!$B$6:'Rúbricas BP Todas as dimensões'!$AA$154,20,FALSE)</f>
        <v>177700</v>
      </c>
      <c r="G7" s="35">
        <f>VLOOKUP($B7,'Rúbricas BP Todas as dimensões'!$B$6:'Rúbricas BP Todas as dimensões'!$AA$154,25,FALSE)</f>
        <v>199900</v>
      </c>
    </row>
    <row r="8" spans="1:14" x14ac:dyDescent="0.3">
      <c r="B8" s="5" t="s">
        <v>146</v>
      </c>
      <c r="C8" s="35">
        <f>VLOOKUP($B8,'Rúbricas BP Todas as dimensões'!$B$6:'Rúbricas BP Todas as dimensões'!$AA$154,5,FALSE)</f>
        <v>0</v>
      </c>
      <c r="D8" s="35">
        <f>VLOOKUP($B8,'Rúbricas BP Todas as dimensões'!$B$6:'Rúbricas BP Todas as dimensões'!$AA$154,10,FALSE)</f>
        <v>322400</v>
      </c>
      <c r="E8" s="35">
        <f>VLOOKUP($B8,'Rúbricas BP Todas as dimensões'!$B$6:'Rúbricas BP Todas as dimensões'!$AA$154,15,FALSE)</f>
        <v>300200</v>
      </c>
      <c r="F8" s="35">
        <f>VLOOKUP($B8,'Rúbricas BP Todas as dimensões'!$B$6:'Rúbricas BP Todas as dimensões'!$AA$154,20,FALSE)</f>
        <v>283500</v>
      </c>
      <c r="G8" s="35">
        <f>VLOOKUP($B8,'Rúbricas BP Todas as dimensões'!$B$6:'Rúbricas BP Todas as dimensões'!$AA$154,25,FALSE)</f>
        <v>358200</v>
      </c>
    </row>
    <row r="9" spans="1:14" x14ac:dyDescent="0.3">
      <c r="B9" s="5" t="s">
        <v>147</v>
      </c>
      <c r="C9" s="35">
        <f>VLOOKUP($B9,'Rúbricas BP Todas as dimensões'!$B$6:'Rúbricas BP Todas as dimensões'!$AA$154,5,FALSE)</f>
        <v>0</v>
      </c>
      <c r="D9" s="35">
        <f>VLOOKUP($B9,'Rúbricas BP Todas as dimensões'!$B$6:'Rúbricas BP Todas as dimensões'!$AA$154,10,FALSE)</f>
        <v>141200</v>
      </c>
      <c r="E9" s="35">
        <f>VLOOKUP($B9,'Rúbricas BP Todas as dimensões'!$B$6:'Rúbricas BP Todas as dimensões'!$AA$154,15,FALSE)</f>
        <v>22000</v>
      </c>
      <c r="F9" s="35">
        <f>VLOOKUP($B9,'Rúbricas BP Todas as dimensões'!$B$6:'Rúbricas BP Todas as dimensões'!$AA$154,20,FALSE)</f>
        <v>25900</v>
      </c>
      <c r="G9" s="35">
        <f>VLOOKUP($B9,'Rúbricas BP Todas as dimensões'!$B$6:'Rúbricas BP Todas as dimensões'!$AA$154,25,FALSE)</f>
        <v>204000</v>
      </c>
    </row>
    <row r="10" spans="1:14" x14ac:dyDescent="0.3">
      <c r="B10" s="5" t="s">
        <v>148</v>
      </c>
      <c r="C10" s="35">
        <f>VLOOKUP($B$10,'Rúbricas BP Todas as dimensões'!$B$6:'Rúbricas BP Todas as dimensões'!$AA$154,5,FALSE)</f>
        <v>0</v>
      </c>
      <c r="D10" s="35">
        <f>VLOOKUP($B10,'Rúbricas BP Todas as dimensões'!$B$6:'Rúbricas BP Todas as dimensões'!$AA$154,10,FALSE)</f>
        <v>2655000</v>
      </c>
      <c r="E10" s="35">
        <f>VLOOKUP($B10,'Rúbricas BP Todas as dimensões'!$B$6:'Rúbricas BP Todas as dimensões'!$AA$154,15,FALSE)</f>
        <v>2689000</v>
      </c>
      <c r="F10" s="35">
        <f>VLOOKUP($B10,'Rúbricas BP Todas as dimensões'!$B$6:'Rúbricas BP Todas as dimensões'!$AA$154,20,FALSE)</f>
        <v>2692000</v>
      </c>
      <c r="G10" s="35">
        <f>VLOOKUP($B10,'Rúbricas BP Todas as dimensões'!$B$6:'Rúbricas BP Todas as dimensões'!$AA$154,25,FALSE)</f>
        <v>2850000</v>
      </c>
    </row>
    <row r="11" spans="1:14" x14ac:dyDescent="0.3">
      <c r="B11" s="5" t="s">
        <v>149</v>
      </c>
      <c r="C11" s="35">
        <f>VLOOKUP($B11,'Rúbricas BP Todas as dimensões'!$B$6:'Rúbricas BP Todas as dimensões'!$AA$154,5,FALSE)</f>
        <v>0</v>
      </c>
      <c r="D11" s="35">
        <f>VLOOKUP($B11,'Rúbricas BP Todas as dimensões'!$B$6:'Rúbricas BP Todas as dimensões'!$AA$154,10,FALSE)</f>
        <v>1383000</v>
      </c>
      <c r="E11" s="35">
        <f>VLOOKUP($B11,'Rúbricas BP Todas as dimensões'!$B$6:'Rúbricas BP Todas as dimensões'!$AA$154,15,FALSE)</f>
        <v>1420000</v>
      </c>
      <c r="F11" s="35">
        <f>VLOOKUP($B11,'Rúbricas BP Todas as dimensões'!$B$6:'Rúbricas BP Todas as dimensões'!$AA$154,20,FALSE)</f>
        <v>1410000</v>
      </c>
      <c r="G11" s="35">
        <f>VLOOKUP($B11,'Rúbricas BP Todas as dimensões'!$B$6:'Rúbricas BP Todas as dimensões'!$AA$154,25,FALSE)</f>
        <v>1432000</v>
      </c>
    </row>
    <row r="12" spans="1:14" x14ac:dyDescent="0.3">
      <c r="B12" s="5" t="s">
        <v>150</v>
      </c>
      <c r="C12" s="35">
        <f>VLOOKUP($B12,'Rúbricas BP Todas as dimensões'!$B$6:'Rúbricas BP Todas as dimensões'!$AA$154,5,FALSE)</f>
        <v>0</v>
      </c>
      <c r="D12" s="35">
        <f>VLOOKUP($B12,'Rúbricas BP Todas as dimensões'!$B$6:'Rúbricas BP Todas as dimensões'!$AA$154,10,FALSE)</f>
        <v>1272000</v>
      </c>
      <c r="E12" s="35">
        <f>VLOOKUP($B12,'Rúbricas BP Todas as dimensões'!$B$6:'Rúbricas BP Todas as dimensões'!$AA$154,15,FALSE)</f>
        <v>1269000</v>
      </c>
      <c r="F12" s="35">
        <f>VLOOKUP($B12,'Rúbricas BP Todas as dimensões'!$B$6:'Rúbricas BP Todas as dimensões'!$AA$154,20,FALSE)</f>
        <v>1282000</v>
      </c>
      <c r="G12" s="35">
        <f>VLOOKUP($B12,'Rúbricas BP Todas as dimensões'!$B$6:'Rúbricas BP Todas as dimensões'!$AA$154,25,FALSE)</f>
        <v>1418000</v>
      </c>
    </row>
    <row r="13" spans="1:14" x14ac:dyDescent="0.3">
      <c r="B13" s="5" t="s">
        <v>151</v>
      </c>
      <c r="C13" s="35">
        <f>VLOOKUP($B13,'Rúbricas BP Todas as dimensões'!$B$6:'Rúbricas BP Todas as dimensões'!$AA$154,5,FALSE)</f>
        <v>0</v>
      </c>
      <c r="D13" s="35">
        <f>VLOOKUP($B13,'Rúbricas BP Todas as dimensões'!$B$6:'Rúbricas BP Todas as dimensões'!$AA$154,10,FALSE)</f>
        <v>1178000</v>
      </c>
      <c r="E13" s="35">
        <f>VLOOKUP($B13,'Rúbricas BP Todas as dimensões'!$B$6:'Rúbricas BP Todas as dimensões'!$AA$154,15,FALSE)</f>
        <v>1177000</v>
      </c>
      <c r="F13" s="35">
        <f>VLOOKUP($B13,'Rúbricas BP Todas as dimensões'!$B$6:'Rúbricas BP Todas as dimensões'!$AA$154,20,FALSE)</f>
        <v>1139000</v>
      </c>
      <c r="G13" s="35">
        <f>VLOOKUP($B13,'Rúbricas BP Todas as dimensões'!$B$6:'Rúbricas BP Todas as dimensões'!$AA$154,25,FALSE)</f>
        <v>1287000</v>
      </c>
    </row>
    <row r="14" spans="1:14" x14ac:dyDescent="0.3">
      <c r="B14" s="5" t="s">
        <v>152</v>
      </c>
      <c r="C14" s="35">
        <f>VLOOKUP($B14,'Rúbricas BP Todas as dimensões'!$B$6:'Rúbricas BP Todas as dimensões'!$AA$154,5,FALSE)</f>
        <v>0</v>
      </c>
      <c r="D14" s="35">
        <f>VLOOKUP($B14,'Rúbricas BP Todas as dimensões'!$B$6:'Rúbricas BP Todas as dimensões'!$AA$154,10,FALSE)</f>
        <v>978100</v>
      </c>
      <c r="E14" s="35">
        <f>VLOOKUP($B14,'Rúbricas BP Todas as dimensões'!$B$6:'Rúbricas BP Todas as dimensões'!$AA$154,15,FALSE)</f>
        <v>690100</v>
      </c>
      <c r="F14" s="35">
        <f>VLOOKUP($B14,'Rúbricas BP Todas as dimensões'!$B$6:'Rúbricas BP Todas as dimensões'!$AA$154,20,FALSE)</f>
        <v>653300</v>
      </c>
      <c r="G14" s="35">
        <f>VLOOKUP($B14,'Rúbricas BP Todas as dimensões'!$B$6:'Rúbricas BP Todas as dimensões'!$AA$154,25,FALSE)</f>
        <v>749300</v>
      </c>
    </row>
    <row r="15" spans="1:14" x14ac:dyDescent="0.3">
      <c r="B15" s="5" t="s">
        <v>78</v>
      </c>
      <c r="C15" s="35">
        <f>VLOOKUP($B15,'Rúbricas BP Todas as dimensões'!$B$6:'Rúbricas BP Todas as dimensões'!$AA$154,5,FALSE)</f>
        <v>0</v>
      </c>
      <c r="D15" s="35">
        <f>VLOOKUP($B15,'Rúbricas BP Todas as dimensões'!$B$6:'Rúbricas BP Todas as dimensões'!$AA$154,10,FALSE)</f>
        <v>327700</v>
      </c>
      <c r="E15" s="35">
        <f>VLOOKUP($B15,'Rúbricas BP Todas as dimensões'!$B$6:'Rúbricas BP Todas as dimensões'!$AA$154,15,FALSE)</f>
        <v>298800</v>
      </c>
      <c r="F15" s="35">
        <f>VLOOKUP($B15,'Rúbricas BP Todas as dimensões'!$B$6:'Rúbricas BP Todas as dimensões'!$AA$154,20,FALSE)</f>
        <v>268000</v>
      </c>
      <c r="G15" s="35">
        <f>VLOOKUP($B15,'Rúbricas BP Todas as dimensões'!$B$6:'Rúbricas BP Todas as dimensões'!$AA$154,25,FALSE)</f>
        <v>315100</v>
      </c>
    </row>
    <row r="16" spans="1:14" x14ac:dyDescent="0.3">
      <c r="B16" s="5" t="s">
        <v>45</v>
      </c>
      <c r="C16" s="35">
        <f>VLOOKUP($B16,'Rúbricas BP Todas as dimensões'!$B$6:'Rúbricas BP Todas as dimensões'!$AA$154,5,FALSE)</f>
        <v>0</v>
      </c>
      <c r="D16" s="35">
        <f>VLOOKUP($B16,'Rúbricas BP Todas as dimensões'!$B$6:'Rúbricas BP Todas as dimensões'!$AA$154,10,FALSE)</f>
        <v>359000</v>
      </c>
      <c r="E16" s="35">
        <f>VLOOKUP($B16,'Rúbricas BP Todas as dimensões'!$B$6:'Rúbricas BP Todas as dimensões'!$AA$154,15,FALSE)</f>
        <v>378300</v>
      </c>
      <c r="F16" s="35">
        <f>VLOOKUP($B16,'Rúbricas BP Todas as dimensões'!$B$6:'Rúbricas BP Todas as dimensões'!$AA$154,20,FALSE)</f>
        <v>399300</v>
      </c>
      <c r="G16" s="35">
        <f>VLOOKUP($B16,'Rúbricas BP Todas as dimensões'!$B$6:'Rúbricas BP Todas as dimensões'!$AA$154,25,FALSE)</f>
        <v>482800</v>
      </c>
    </row>
    <row r="17" spans="2:7" x14ac:dyDescent="0.3">
      <c r="B17" s="5" t="s">
        <v>44</v>
      </c>
      <c r="C17" s="35">
        <f>VLOOKUP($B17,'Rúbricas BP Todas as dimensões'!$B$6:'Rúbricas BP Todas as dimensões'!$AA$154,5,FALSE)</f>
        <v>0</v>
      </c>
      <c r="D17" s="35">
        <f>VLOOKUP($B17,'Rúbricas BP Todas as dimensões'!$B$6:'Rúbricas BP Todas as dimensões'!$AA$154,10,FALSE)</f>
        <v>470900</v>
      </c>
      <c r="E17" s="35">
        <f>VLOOKUP($B17,'Rúbricas BP Todas as dimensões'!$B$6:'Rúbricas BP Todas as dimensões'!$AA$154,15,FALSE)</f>
        <v>514100</v>
      </c>
      <c r="F17" s="35">
        <f>VLOOKUP($B17,'Rúbricas BP Todas as dimensões'!$B$6:'Rúbricas BP Todas as dimensões'!$AA$154,20,FALSE)</f>
        <v>394400</v>
      </c>
      <c r="G17" s="35">
        <f>VLOOKUP($B17,'Rúbricas BP Todas as dimensões'!$B$6:'Rúbricas BP Todas as dimensões'!$AA$154,25,FALSE)</f>
        <v>330700</v>
      </c>
    </row>
    <row r="18" spans="2:7" x14ac:dyDescent="0.3">
      <c r="B18" s="5" t="s">
        <v>312</v>
      </c>
      <c r="C18" s="35">
        <f>VLOOKUP($B18,'Rúbricas BP Todas as dimensões'!$B$6:'Rúbricas BP Todas as dimensões'!$AA$154,5,FALSE)</f>
        <v>0</v>
      </c>
      <c r="D18" s="35">
        <f>VLOOKUP($B18,'Rúbricas BP Todas as dimensões'!$B$6:'Rúbricas BP Todas as dimensões'!$AA$154,10,FALSE)</f>
        <v>156700</v>
      </c>
      <c r="E18" s="35">
        <f>VLOOKUP($B18,'Rúbricas BP Todas as dimensões'!$B$6:'Rúbricas BP Todas as dimensões'!$AA$154,15,FALSE)</f>
        <v>125800</v>
      </c>
      <c r="F18" s="35">
        <f>VLOOKUP($B18,'Rúbricas BP Todas as dimensões'!$B$6:'Rúbricas BP Todas as dimensões'!$AA$154,20,FALSE)</f>
        <v>166700</v>
      </c>
      <c r="G18" s="35">
        <f>VLOOKUP($B18,'Rúbricas BP Todas as dimensões'!$B$6:'Rúbricas BP Todas as dimensões'!$AA$154,25,FALSE)</f>
        <v>322900</v>
      </c>
    </row>
    <row r="19" spans="2:7" x14ac:dyDescent="0.3">
      <c r="B19" s="5" t="s">
        <v>153</v>
      </c>
      <c r="C19" s="35">
        <f>VLOOKUP($B19,'Rúbricas BP Todas as dimensões'!$B$6:'Rúbricas BP Todas as dimensões'!$AA$154,5,FALSE)</f>
        <v>0</v>
      </c>
      <c r="D19" s="35">
        <f>VLOOKUP($B19,'Rúbricas BP Todas as dimensões'!$B$6:'Rúbricas BP Todas as dimensões'!$AA$154,10,FALSE)</f>
        <v>958900</v>
      </c>
      <c r="E19" s="35">
        <f>VLOOKUP($B19,'Rúbricas BP Todas as dimensões'!$B$6:'Rúbricas BP Todas as dimensões'!$AA$154,15,FALSE)</f>
        <v>1010000</v>
      </c>
      <c r="F19" s="35">
        <f>VLOOKUP($B19,'Rúbricas BP Todas as dimensões'!$B$6:'Rúbricas BP Todas as dimensões'!$AA$154,20,FALSE)</f>
        <v>1007000</v>
      </c>
      <c r="G19" s="35">
        <f>VLOOKUP($B19,'Rúbricas BP Todas as dimensões'!$B$6:'Rúbricas BP Todas as dimensões'!$AA$154,25,FALSE)</f>
        <v>880500</v>
      </c>
    </row>
    <row r="20" spans="2:7" x14ac:dyDescent="0.3">
      <c r="B20" s="5" t="s">
        <v>154</v>
      </c>
      <c r="C20" s="35">
        <f>VLOOKUP($B20,'Rúbricas BP Todas as dimensões'!$B$6:'Rúbricas BP Todas as dimensões'!$AA$154,5,FALSE)</f>
        <v>0</v>
      </c>
      <c r="D20" s="35">
        <f>VLOOKUP($B20,'Rúbricas BP Todas as dimensões'!$B$6:'Rúbricas BP Todas as dimensões'!$AA$154,10,FALSE)</f>
        <v>21300</v>
      </c>
      <c r="E20" s="35">
        <f>VLOOKUP($B20,'Rúbricas BP Todas as dimensões'!$B$6:'Rúbricas BP Todas as dimensões'!$AA$154,15,FALSE)</f>
        <v>10300</v>
      </c>
      <c r="F20" s="35">
        <f>VLOOKUP($B20,'Rúbricas BP Todas as dimensões'!$B$6:'Rúbricas BP Todas as dimensões'!$AA$154,20,FALSE)</f>
        <v>11000</v>
      </c>
      <c r="G20" s="35">
        <f>VLOOKUP($B20,'Rúbricas BP Todas as dimensões'!$B$6:'Rúbricas BP Todas as dimensões'!$AA$154,25,FALSE)</f>
        <v>38900</v>
      </c>
    </row>
    <row r="21" spans="2:7" x14ac:dyDescent="0.3">
      <c r="B21" s="5" t="s">
        <v>156</v>
      </c>
      <c r="C21" s="22" t="e">
        <f>VLOOKUP(LEFT('Rúbricas BP Todas as dimensões'!$B$6,2)*1,Table5[],4,FALSE)/100</f>
        <v>#VALUE!</v>
      </c>
      <c r="D21" s="22" t="e">
        <f>VLOOKUP(LEFT('Rúbricas BP Todas as dimensões'!$B$6,2)*1,Table5[],5,FALSE)/100</f>
        <v>#VALUE!</v>
      </c>
      <c r="E21" s="22" t="e">
        <f>VLOOKUP(LEFT('Rúbricas BP Todas as dimensões'!$B$6,2)*1,Table5[],6,FALSE)/100</f>
        <v>#VALUE!</v>
      </c>
      <c r="F21" s="22" t="e">
        <f>VLOOKUP(LEFT('Rúbricas BP Todas as dimensões'!$B$6,2)*1,Table5[],7,FALSE)/100</f>
        <v>#VALUE!</v>
      </c>
      <c r="G21" s="22" t="e">
        <f>VLOOKUP(LEFT('Rúbricas BP Todas as dimensões'!$B$6,2)*1,Table5[],8,FALSE)/100</f>
        <v>#VALUE!</v>
      </c>
    </row>
    <row r="22" spans="2:7" x14ac:dyDescent="0.3">
      <c r="B22" s="5" t="s">
        <v>275</v>
      </c>
      <c r="C22" s="42">
        <f>VLOOKUP($B22,'Rúbricas BP Todas as dimensões'!$B$6:'Rúbricas BP Todas as dimensões'!$AA$154,5,FALSE)</f>
        <v>0</v>
      </c>
      <c r="D22" s="42">
        <f>VLOOKUP($B22,'Rúbricas BP Todas as dimensões'!$B$6:'Rúbricas BP Todas as dimensões'!$AA$154,10,FALSE)</f>
        <v>34</v>
      </c>
      <c r="E22" s="42">
        <f>VLOOKUP($B22,'Rúbricas BP Todas as dimensões'!$B$6:'Rúbricas BP Todas as dimensões'!$AA$154,15,FALSE)</f>
        <v>37</v>
      </c>
      <c r="F22" s="42">
        <f>VLOOKUP($B22,'Rúbricas BP Todas as dimensões'!$B$6:'Rúbricas BP Todas as dimensões'!$AA$154,20,FALSE)</f>
        <v>40</v>
      </c>
      <c r="G22" s="42">
        <f>VLOOKUP($B22,'Rúbricas BP Todas as dimensões'!$B$20:'Rúbricas BP Todas as dimensões'!$AA$154,25,FALSE)</f>
        <v>25</v>
      </c>
    </row>
    <row r="23" spans="2:7" x14ac:dyDescent="0.3">
      <c r="B23" s="5" t="s">
        <v>158</v>
      </c>
      <c r="C23" s="42">
        <f>VLOOKUP($B23,'Rúbricas BP Todas as dimensões'!$B$6:'Rúbricas BP Todas as dimensões'!$AA$154,5,FALSE)</f>
        <v>0</v>
      </c>
      <c r="D23" s="42">
        <f>VLOOKUP($B23,'Rúbricas BP Todas as dimensões'!$B$6:'Rúbricas BP Todas as dimensões'!$AA$154,10,FALSE)</f>
        <v>34</v>
      </c>
      <c r="E23" s="42">
        <f>VLOOKUP($B23,'Rúbricas BP Todas as dimensões'!$B$6:'Rúbricas BP Todas as dimensões'!$AA$154,15,FALSE)</f>
        <v>42</v>
      </c>
      <c r="F23" s="42">
        <f>VLOOKUP($B23,'Rúbricas BP Todas as dimensões'!$B$6:'Rúbricas BP Todas as dimensões'!$AA$154,20,FALSE)</f>
        <v>50</v>
      </c>
      <c r="G23" s="42">
        <f>VLOOKUP($B23,'Rúbricas BP Todas as dimensões'!$B$20:'Rúbricas BP Todas as dimensões'!$AA$154,25,FALSE)</f>
        <v>33</v>
      </c>
    </row>
    <row r="24" spans="2:7" x14ac:dyDescent="0.3">
      <c r="B24" s="5" t="s">
        <v>159</v>
      </c>
      <c r="C24" s="35">
        <f>VLOOKUP($B24,'Rúbricas BP Todas as dimensões'!$B$6:'Rúbricas BP Todas as dimensões'!$AA$154,5,FALSE)</f>
        <v>0</v>
      </c>
      <c r="D24" s="35">
        <f>VLOOKUP($B24,'Rúbricas BP Todas as dimensões'!$B$6:'Rúbricas BP Todas as dimensões'!$AA$154,10,FALSE)</f>
        <v>191100</v>
      </c>
      <c r="E24" s="35">
        <f>VLOOKUP($B24,'Rúbricas BP Todas as dimensões'!$B$6:'Rúbricas BP Todas as dimensões'!$AA$154,15,FALSE)</f>
        <v>58100</v>
      </c>
      <c r="F24" s="35">
        <f>VLOOKUP($B24,'Rúbricas BP Todas as dimensões'!$B$6:'Rúbricas BP Todas as dimensões'!$AA$154,20,FALSE)</f>
        <v>59000</v>
      </c>
      <c r="G24" s="35">
        <f>VLOOKUP($B24,'Rúbricas BP Todas as dimensões'!$B$6:'Rúbricas BP Todas as dimensões'!$AA$154,25,FALSE)</f>
        <v>264400</v>
      </c>
    </row>
    <row r="25" spans="2:7" x14ac:dyDescent="0.3">
      <c r="B25" s="5" t="s">
        <v>264</v>
      </c>
      <c r="C25" s="88">
        <f>VLOOKUP($B$25,'Rúbricas BP Todas as dimensões'!$B$6:'Rúbricas BP Todas as dimensões'!$AA$154,5,FALSE)</f>
        <v>0</v>
      </c>
      <c r="D25" s="88">
        <f>VLOOKUP($B$25,'Rúbricas BP Todas as dimensões'!$B$6:'Rúbricas BP Todas as dimensões'!$AA$154,10,FALSE)</f>
        <v>9</v>
      </c>
      <c r="E25" s="88">
        <f>VLOOKUP($B$25,'Rúbricas BP Todas as dimensões'!$B$6:'Rúbricas BP Todas as dimensões'!$AA$154,15,FALSE)</f>
        <v>9</v>
      </c>
      <c r="F25" s="88">
        <f>VLOOKUP($B$25,'Rúbricas BP Todas as dimensões'!$B$6:'Rúbricas BP Todas as dimensões'!$AA$154,20,FALSE)</f>
        <v>9</v>
      </c>
      <c r="G25" s="88">
        <f>VLOOKUP($B$25,'Rúbricas BP Todas as dimensões'!$B$6:'Rúbricas BP Todas as dimensões'!$AA$154,25,FALSE)</f>
        <v>9</v>
      </c>
    </row>
    <row r="26" spans="2:7" x14ac:dyDescent="0.3">
      <c r="B26" s="5" t="s">
        <v>462</v>
      </c>
      <c r="C26" s="89">
        <f>VLOOKUP($B$26,'Rúbricas BP Todas as dimensões'!$B$6:'Rúbricas BP Todas as dimensões'!$AA$154,5,FALSE)</f>
        <v>0</v>
      </c>
      <c r="D26" s="89">
        <f>VLOOKUP($B$26,'Rúbricas BP Todas as dimensões'!$B$6:'Rúbricas BP Todas as dimensões'!$AA$154,10,FALSE)</f>
        <v>375500</v>
      </c>
      <c r="E26" s="89">
        <f>VLOOKUP($B$26,'Rúbricas BP Todas as dimensões'!$B$6:'Rúbricas BP Todas as dimensões'!$AA$154,15,FALSE)</f>
        <v>300500</v>
      </c>
      <c r="F26" s="89">
        <f>VLOOKUP($B$26,'Rúbricas BP Todas as dimensões'!$B$20:'Rúbricas BP Todas as dimensões'!$AA$154,20,FALSE)</f>
        <v>305600</v>
      </c>
      <c r="G26" s="89">
        <f>VLOOKUP($B$26,'Rúbricas BP Todas as dimensões'!$B$6:'Rúbricas BP Todas as dimensões'!$AA$154,25,FALSE)</f>
        <v>562000</v>
      </c>
    </row>
    <row r="27" spans="2:7" x14ac:dyDescent="0.3">
      <c r="B27" s="5" t="s">
        <v>454</v>
      </c>
      <c r="C27" s="90" t="e">
        <f>'Rúbricas BP Todas as dimensões'!$G$153/'Rúbricas BP Todas as dimensões'!$G$152</f>
        <v>#DIV/0!</v>
      </c>
      <c r="D27" s="90">
        <f>'Rúbricas BP Todas as dimensões'!$K$153/'Rúbricas BP Todas as dimensões'!$K$152</f>
        <v>9.9822380106571934E-2</v>
      </c>
      <c r="E27" s="90">
        <f>'Rúbricas BP Todas as dimensões'!$Q$153/'Rúbricas BP Todas as dimensões'!$Q$152</f>
        <v>0.12154605169780684</v>
      </c>
      <c r="F27" s="90">
        <f>'Rúbricas BP Todas as dimensões'!$V$153/'Rúbricas BP Todas as dimensões'!$V$152</f>
        <v>9.4357132071673039E-2</v>
      </c>
      <c r="G27" s="90">
        <f>'Rúbricas BP Todas as dimensões'!$AA$153/'Rúbricas BP Todas as dimensões'!$AA$152</f>
        <v>9.480948694255055E-2</v>
      </c>
    </row>
    <row r="28" spans="2:7" x14ac:dyDescent="0.3">
      <c r="B28" s="5" t="s">
        <v>307</v>
      </c>
      <c r="C28" s="22">
        <f>VLOOKUP(B28,'Rúbricas BP Todas as dimensões'!$B$6:'Rúbricas BP Todas as dimensões'!$AA$154,5,FALSE)/100</f>
        <v>0</v>
      </c>
      <c r="D28" s="22">
        <f>VLOOKUP(B28,'Rúbricas BP Todas as dimensões'!$B$6:'Rúbricas BP Todas as dimensões'!$AA$154,10,FALSE)/100</f>
        <v>0.1104</v>
      </c>
      <c r="E28" s="22">
        <f>VLOOKUP(B28,'Rúbricas BP Todas as dimensões'!$B$20:'Rúbricas BP Todas as dimensões'!$AA$154,15,FALSE)/100</f>
        <v>0.1036</v>
      </c>
      <c r="F28" s="22">
        <f>VLOOKUP(B28,'Rúbricas BP Todas as dimensões'!$B$20:'Rúbricas BP Todas as dimensões'!$AA$154,20,FALSE)/100</f>
        <v>0.12470000000000001</v>
      </c>
      <c r="G28" s="22">
        <f>VLOOKUP(B28,'Rúbricas BP Todas as dimensões'!$B$20:'Rúbricas BP Todas as dimensões'!$AA$154,25,FALSE)/100</f>
        <v>0.12210000000000001</v>
      </c>
    </row>
    <row r="29" spans="2:7" x14ac:dyDescent="0.3">
      <c r="B29" s="83"/>
      <c r="C29" s="61"/>
      <c r="D29" s="61"/>
      <c r="E29" s="61"/>
      <c r="F29" s="61"/>
      <c r="G29" s="61"/>
    </row>
    <row r="30" spans="2:7" x14ac:dyDescent="0.3">
      <c r="B30" s="83"/>
      <c r="C30" s="61"/>
      <c r="D30" s="61"/>
      <c r="E30" s="61"/>
      <c r="F30" s="61"/>
      <c r="G30" s="61"/>
    </row>
    <row r="31" spans="2:7" x14ac:dyDescent="0.3">
      <c r="B31" s="83"/>
      <c r="C31" s="60"/>
      <c r="D31" s="60"/>
      <c r="E31" s="60"/>
      <c r="F31" s="60"/>
      <c r="G31" s="60"/>
    </row>
    <row r="32" spans="2:7" x14ac:dyDescent="0.3">
      <c r="B32" s="114" t="str">
        <f>_xlfn.CONCAT("Dados do Setor ", 'Rúbricas BP Dimensão aplicável'!$B$2 )</f>
        <v>Dados do Setor 38321 - Valorização de resíduos metálicos; Microempresas</v>
      </c>
      <c r="C32" s="114"/>
      <c r="D32" s="114"/>
      <c r="E32" s="114"/>
      <c r="F32" s="114"/>
      <c r="G32" s="114"/>
    </row>
    <row r="33" spans="2:7" x14ac:dyDescent="0.3">
      <c r="B33" s="11" t="s">
        <v>155</v>
      </c>
      <c r="C33" s="1">
        <v>2017</v>
      </c>
      <c r="D33" s="1">
        <v>2018</v>
      </c>
      <c r="E33" s="1">
        <v>2019</v>
      </c>
      <c r="F33" s="1">
        <v>2020</v>
      </c>
      <c r="G33" s="86">
        <v>2021</v>
      </c>
    </row>
    <row r="34" spans="2:7" x14ac:dyDescent="0.3">
      <c r="B34" s="5" t="s">
        <v>142</v>
      </c>
      <c r="C34" s="35">
        <f>VLOOKUP($B34,'Rúbricas BP Dimensão aplicável'!$B$2:'Rúbricas BP Dimensão aplicável'!$AA$154,5,FALSE)</f>
        <v>0</v>
      </c>
      <c r="D34" s="35">
        <f>VLOOKUP($B34,'Rúbricas BP Dimensão aplicável'!$B$2:'Rúbricas BP Dimensão aplicável'!$AA$154,10,FALSE)</f>
        <v>494800</v>
      </c>
      <c r="E34" s="35">
        <f>VLOOKUP($B34,'Rúbricas BP Dimensão aplicável'!$B$2:'Rúbricas BP Dimensão aplicável'!$AA$154,15,FALSE)</f>
        <v>451100</v>
      </c>
      <c r="F34" s="35">
        <f>VLOOKUP($B34,'Rúbricas BP Dimensão aplicável'!$B$2:'Rúbricas BP Dimensão aplicável'!$AA$154,20,FALSE)</f>
        <v>481000</v>
      </c>
      <c r="G34" s="87">
        <f>VLOOKUP($B34,'Rúbricas BP Dimensão aplicável'!$B$2:'Rúbricas BP Dimensão aplicável'!$AA$154,25,FALSE)</f>
        <v>628600</v>
      </c>
    </row>
    <row r="35" spans="2:7" x14ac:dyDescent="0.3">
      <c r="B35" s="5" t="s">
        <v>143</v>
      </c>
      <c r="C35" s="35">
        <f>VLOOKUP($B35,'Rúbricas BP Dimensão aplicável'!$B$2:'Rúbricas BP Dimensão aplicável'!$AA$154,5,FALSE)</f>
        <v>0</v>
      </c>
      <c r="D35" s="35">
        <f>VLOOKUP($B35,'Rúbricas BP Dimensão aplicável'!$B$2:'Rúbricas BP Dimensão aplicável'!$AA$154,10,FALSE)</f>
        <v>39500</v>
      </c>
      <c r="E35" s="35">
        <f>VLOOKUP($B35,'Rúbricas BP Dimensão aplicável'!$B$2:'Rúbricas BP Dimensão aplicável'!$AA$154,15,FALSE)</f>
        <v>35700</v>
      </c>
      <c r="F35" s="35">
        <f>VLOOKUP($B35,'Rúbricas BP Dimensão aplicável'!$B$2:'Rúbricas BP Dimensão aplicável'!$AA$154,20,FALSE)</f>
        <v>18500</v>
      </c>
      <c r="G35" s="35">
        <f>VLOOKUP($B35,'Rúbricas BP Dimensão aplicável'!$B$2:'Rúbricas BP Dimensão aplicável'!$AA$154,25,FALSE)</f>
        <v>59500</v>
      </c>
    </row>
    <row r="36" spans="2:7" x14ac:dyDescent="0.3">
      <c r="B36" s="5" t="s">
        <v>144</v>
      </c>
      <c r="C36" s="35">
        <f>VLOOKUP($B36,'Rúbricas BP Dimensão aplicável'!$B$2:'Rúbricas BP Dimensão aplicável'!$AA$154,5,FALSE)</f>
        <v>0</v>
      </c>
      <c r="D36" s="35">
        <f>VLOOKUP($B36,'Rúbricas BP Dimensão aplicável'!$B$2:'Rúbricas BP Dimensão aplicável'!$AA$154,10,FALSE)</f>
        <v>363900</v>
      </c>
      <c r="E36" s="35">
        <f>VLOOKUP($B36,'Rúbricas BP Dimensão aplicável'!$B$2:'Rúbricas BP Dimensão aplicável'!$AA$154,15,FALSE)</f>
        <v>317700</v>
      </c>
      <c r="F36" s="35">
        <f>VLOOKUP($B36,'Rúbricas BP Dimensão aplicável'!$B$2:'Rúbricas BP Dimensão aplicável'!$AA$154,20,FALSE)</f>
        <v>356000</v>
      </c>
      <c r="G36" s="35">
        <f>VLOOKUP($B36,'Rúbricas BP Dimensão aplicável'!$B$2:'Rúbricas BP Dimensão aplicável'!$AA$154,25,FALSE)</f>
        <v>456200</v>
      </c>
    </row>
    <row r="37" spans="2:7" x14ac:dyDescent="0.3">
      <c r="B37" s="5" t="s">
        <v>145</v>
      </c>
      <c r="C37" s="35">
        <f>VLOOKUP($B37,'Rúbricas BP Dimensão aplicável'!$B$2:'Rúbricas BP Dimensão aplicável'!$AA$154,5,FALSE)</f>
        <v>0</v>
      </c>
      <c r="D37" s="35">
        <f>VLOOKUP($B37,'Rúbricas BP Dimensão aplicável'!$B$2:'Rúbricas BP Dimensão aplicável'!$AA$154,10,FALSE)</f>
        <v>41300</v>
      </c>
      <c r="E37" s="35">
        <f>VLOOKUP($B37,'Rúbricas BP Dimensão aplicável'!$B$2:'Rúbricas BP Dimensão aplicável'!$AA$154,15,FALSE)</f>
        <v>50100</v>
      </c>
      <c r="F37" s="35">
        <f>VLOOKUP($B37,'Rúbricas BP Dimensão aplicável'!$B$2:'Rúbricas BP Dimensão aplicável'!$AA$154,20,FALSE)</f>
        <v>48100</v>
      </c>
      <c r="G37" s="35">
        <f>VLOOKUP($B37,'Rúbricas BP Dimensão aplicável'!$B$2:'Rúbricas BP Dimensão aplicável'!$AA$154,25,FALSE)</f>
        <v>46900</v>
      </c>
    </row>
    <row r="38" spans="2:7" x14ac:dyDescent="0.3">
      <c r="B38" s="5" t="s">
        <v>146</v>
      </c>
      <c r="C38" s="35">
        <f>VLOOKUP($B38,'Rúbricas BP Dimensão aplicável'!$B$2:'Rúbricas BP Dimensão aplicável'!$AA$154,5,FALSE)</f>
        <v>0</v>
      </c>
      <c r="D38" s="35">
        <f>VLOOKUP($B38,'Rúbricas BP Dimensão aplicável'!$B$2:'Rúbricas BP Dimensão aplicável'!$AA$154,10,FALSE)</f>
        <v>55400</v>
      </c>
      <c r="E38" s="35">
        <f>VLOOKUP($B38,'Rúbricas BP Dimensão aplicável'!$B$2:'Rúbricas BP Dimensão aplicável'!$AA$154,15,FALSE)</f>
        <v>53900</v>
      </c>
      <c r="F38" s="35">
        <f>VLOOKUP($B38,'Rúbricas BP Dimensão aplicável'!$B$2:'Rúbricas BP Dimensão aplicável'!$AA$154,20,FALSE)</f>
        <v>55500</v>
      </c>
      <c r="G38" s="35">
        <f>VLOOKUP($B38,'Rúbricas BP Dimensão aplicável'!$B$2:'Rúbricas BP Dimensão aplicável'!$AA$154,25,FALSE)</f>
        <v>64800</v>
      </c>
    </row>
    <row r="39" spans="2:7" x14ac:dyDescent="0.3">
      <c r="B39" s="5" t="s">
        <v>147</v>
      </c>
      <c r="C39" s="35">
        <f>VLOOKUP($B39,'Rúbricas BP Dimensão aplicável'!$B$2:'Rúbricas BP Dimensão aplicável'!$AA$154,5,FALSE)</f>
        <v>0</v>
      </c>
      <c r="D39" s="35">
        <f>VLOOKUP($B39,'Rúbricas BP Dimensão aplicável'!$B$2:'Rúbricas BP Dimensão aplicável'!$AA$154,10,FALSE)</f>
        <v>15900</v>
      </c>
      <c r="E39" s="35">
        <f>VLOOKUP($B39,'Rúbricas BP Dimensão aplicável'!$B$2:'Rúbricas BP Dimensão aplicável'!$AA$154,15,FALSE)</f>
        <v>14600</v>
      </c>
      <c r="F39" s="35">
        <f>VLOOKUP($B39,'Rúbricas BP Dimensão aplicável'!$B$2:'Rúbricas BP Dimensão aplicável'!$AA$154,20,FALSE)</f>
        <v>-4400</v>
      </c>
      <c r="G39" s="35">
        <f>VLOOKUP($B39,'Rúbricas BP Dimensão aplicável'!$B$2:'Rúbricas BP Dimensão aplicável'!$AA$154,25,FALSE)</f>
        <v>33600</v>
      </c>
    </row>
    <row r="40" spans="2:7" x14ac:dyDescent="0.3">
      <c r="B40" s="5" t="s">
        <v>148</v>
      </c>
      <c r="C40" s="35">
        <f>VLOOKUP($B40,'Rúbricas BP Dimensão aplicável'!$B$2:'Rúbricas BP Dimensão aplicável'!$AA$154,5,FALSE)</f>
        <v>0</v>
      </c>
      <c r="D40" s="35">
        <f>VLOOKUP($B40,'Rúbricas BP Dimensão aplicável'!$B$2:'Rúbricas BP Dimensão aplicável'!$AA$154,10,FALSE)</f>
        <v>379500</v>
      </c>
      <c r="E40" s="35">
        <f>VLOOKUP($B40,'Rúbricas BP Dimensão aplicável'!$B$2:'Rúbricas BP Dimensão aplicável'!$AA$154,15,FALSE)</f>
        <v>443200</v>
      </c>
      <c r="F40" s="35">
        <f>VLOOKUP($B40,'Rúbricas BP Dimensão aplicável'!$B$2:'Rúbricas BP Dimensão aplicável'!$AA$154,20,FALSE)</f>
        <v>502300</v>
      </c>
      <c r="G40" s="35">
        <f>VLOOKUP($B40,'Rúbricas BP Dimensão aplicável'!$B$2:'Rúbricas BP Dimensão aplicável'!$AA$154,25,FALSE)</f>
        <v>479700</v>
      </c>
    </row>
    <row r="41" spans="2:7" x14ac:dyDescent="0.3">
      <c r="B41" s="5" t="s">
        <v>149</v>
      </c>
      <c r="C41" s="35">
        <f>VLOOKUP($B41,'Rúbricas BP Dimensão aplicável'!$B$2:'Rúbricas BP Dimensão aplicável'!$AA$154,5,FALSE)</f>
        <v>0</v>
      </c>
      <c r="D41" s="35">
        <f>VLOOKUP($B41,'Rúbricas BP Dimensão aplicável'!$B$2:'Rúbricas BP Dimensão aplicável'!$AA$154,10,FALSE)</f>
        <v>196800</v>
      </c>
      <c r="E41" s="35">
        <f>VLOOKUP($B41,'Rúbricas BP Dimensão aplicável'!$B$2:'Rúbricas BP Dimensão aplicável'!$AA$154,15,FALSE)</f>
        <v>250600</v>
      </c>
      <c r="F41" s="35">
        <f>VLOOKUP($B41,'Rúbricas BP Dimensão aplicável'!$B$2:'Rúbricas BP Dimensão aplicável'!$AA$154,20,FALSE)</f>
        <v>249300</v>
      </c>
      <c r="G41" s="35">
        <f>VLOOKUP($B41,'Rúbricas BP Dimensão aplicável'!$B$2:'Rúbricas BP Dimensão aplicável'!$AA$154,25,FALSE)</f>
        <v>246500</v>
      </c>
    </row>
    <row r="42" spans="2:7" x14ac:dyDescent="0.3">
      <c r="B42" s="5" t="s">
        <v>150</v>
      </c>
      <c r="C42" s="35">
        <f>VLOOKUP($B42,'Rúbricas BP Dimensão aplicável'!$B$2:'Rúbricas BP Dimensão aplicável'!$AA$154,5,FALSE)</f>
        <v>0</v>
      </c>
      <c r="D42" s="35">
        <f>VLOOKUP($B42,'Rúbricas BP Dimensão aplicável'!$B$2:'Rúbricas BP Dimensão aplicável'!$AA$154,10,FALSE)</f>
        <v>182700</v>
      </c>
      <c r="E42" s="35">
        <f>VLOOKUP($B42,'Rúbricas BP Dimensão aplicável'!$B$2:'Rúbricas BP Dimensão aplicável'!$AA$154,15,FALSE)</f>
        <v>192500</v>
      </c>
      <c r="F42" s="35">
        <f>VLOOKUP($B42,'Rúbricas BP Dimensão aplicável'!$B$2:'Rúbricas BP Dimensão aplicável'!$AA$154,20,FALSE)</f>
        <v>253000</v>
      </c>
      <c r="G42" s="35">
        <f>VLOOKUP($B42,'Rúbricas BP Dimensão aplicável'!$B$2:'Rúbricas BP Dimensão aplicável'!$AA$154,25,FALSE)</f>
        <v>233100</v>
      </c>
    </row>
    <row r="43" spans="2:7" x14ac:dyDescent="0.3">
      <c r="B43" s="5" t="s">
        <v>151</v>
      </c>
      <c r="C43" s="35">
        <f>VLOOKUP($B43,'Rúbricas BP Dimensão aplicável'!$B$2:'Rúbricas BP Dimensão aplicável'!$AA$154,5,FALSE)</f>
        <v>0</v>
      </c>
      <c r="D43" s="35">
        <f>VLOOKUP($B43,'Rúbricas BP Dimensão aplicável'!$B$2:'Rúbricas BP Dimensão aplicável'!$AA$154,10,FALSE)</f>
        <v>179600</v>
      </c>
      <c r="E43" s="35">
        <f>VLOOKUP($B43,'Rúbricas BP Dimensão aplicável'!$B$2:'Rúbricas BP Dimensão aplicável'!$AA$154,15,FALSE)</f>
        <v>238400</v>
      </c>
      <c r="F43" s="35">
        <f>VLOOKUP($B43,'Rúbricas BP Dimensão aplicável'!$B$2:'Rúbricas BP Dimensão aplicável'!$AA$154,20,FALSE)</f>
        <v>251900</v>
      </c>
      <c r="G43" s="35">
        <f>VLOOKUP($B43,'Rúbricas BP Dimensão aplicável'!$B$2:'Rúbricas BP Dimensão aplicável'!$AA$154,25,FALSE)</f>
        <v>230600</v>
      </c>
    </row>
    <row r="44" spans="2:7" x14ac:dyDescent="0.3">
      <c r="B44" s="5" t="s">
        <v>152</v>
      </c>
      <c r="C44" s="35">
        <f>VLOOKUP($B44,'Rúbricas BP Dimensão aplicável'!$B$2:'Rúbricas BP Dimensão aplicável'!$AA$154,5,FALSE)</f>
        <v>0</v>
      </c>
      <c r="D44" s="35">
        <f>VLOOKUP($B44,'Rúbricas BP Dimensão aplicável'!$B$2:'Rúbricas BP Dimensão aplicável'!$AA$154,10,FALSE)</f>
        <v>109200</v>
      </c>
      <c r="E44" s="35">
        <f>VLOOKUP($B44,'Rúbricas BP Dimensão aplicável'!$B$2:'Rúbricas BP Dimensão aplicável'!$AA$154,15,FALSE)</f>
        <v>162800</v>
      </c>
      <c r="F44" s="35">
        <f>VLOOKUP($B44,'Rúbricas BP Dimensão aplicável'!$B$2:'Rúbricas BP Dimensão aplicável'!$AA$154,20,FALSE)</f>
        <v>149200</v>
      </c>
      <c r="G44" s="35">
        <f>VLOOKUP($B44,'Rúbricas BP Dimensão aplicável'!$B$2:'Rúbricas BP Dimensão aplicável'!$AA$154,25,FALSE)</f>
        <v>145400</v>
      </c>
    </row>
    <row r="45" spans="2:7" x14ac:dyDescent="0.3">
      <c r="B45" s="5" t="s">
        <v>78</v>
      </c>
      <c r="C45" s="35">
        <f>VLOOKUP($B45,'Rúbricas BP Dimensão aplicável'!$B$2:'Rúbricas BP Dimensão aplicável'!$AA$154,5,FALSE)</f>
        <v>0</v>
      </c>
      <c r="D45" s="35">
        <f>VLOOKUP($B45,'Rúbricas BP Dimensão aplicável'!$B$2:'Rúbricas BP Dimensão aplicável'!$AA$154,10,FALSE)</f>
        <v>47600</v>
      </c>
      <c r="E45" s="35">
        <f>VLOOKUP($B45,'Rúbricas BP Dimensão aplicável'!$B$2:'Rúbricas BP Dimensão aplicável'!$AA$154,15,FALSE)</f>
        <v>82200</v>
      </c>
      <c r="F45" s="35">
        <f>VLOOKUP($B45,'Rúbricas BP Dimensão aplicável'!$B$2:'Rúbricas BP Dimensão aplicável'!$AA$154,20,FALSE)</f>
        <v>79000</v>
      </c>
      <c r="G45" s="35">
        <f>VLOOKUP($B45,'Rúbricas BP Dimensão aplicável'!$B$2:'Rúbricas BP Dimensão aplicável'!$AA$154,25,FALSE)</f>
        <v>72100</v>
      </c>
    </row>
    <row r="46" spans="2:7" x14ac:dyDescent="0.3">
      <c r="B46" s="5" t="s">
        <v>45</v>
      </c>
      <c r="C46" s="35">
        <f>VLOOKUP($B46,'Rúbricas BP Dimensão aplicável'!$B$2:'Rúbricas BP Dimensão aplicável'!$AA$154,5,FALSE)</f>
        <v>0</v>
      </c>
      <c r="D46" s="35">
        <f>VLOOKUP($B46,'Rúbricas BP Dimensão aplicável'!$B$2:'Rúbricas BP Dimensão aplicável'!$AA$154,10,FALSE)</f>
        <v>47500</v>
      </c>
      <c r="E46" s="35">
        <f>VLOOKUP($B46,'Rúbricas BP Dimensão aplicável'!$B$2:'Rúbricas BP Dimensão aplicável'!$AA$154,15,FALSE)</f>
        <v>71900</v>
      </c>
      <c r="F46" s="35">
        <f>VLOOKUP($B46,'Rúbricas BP Dimensão aplicável'!$B$2:'Rúbricas BP Dimensão aplicável'!$AA$154,20,FALSE)</f>
        <v>48200</v>
      </c>
      <c r="G46" s="35">
        <f>VLOOKUP($B46,'Rúbricas BP Dimensão aplicável'!$B$2:'Rúbricas BP Dimensão aplicável'!$AA$154,25,FALSE)</f>
        <v>51100</v>
      </c>
    </row>
    <row r="47" spans="2:7" x14ac:dyDescent="0.3">
      <c r="B47" s="5" t="s">
        <v>44</v>
      </c>
      <c r="C47" s="35">
        <f>VLOOKUP($B47,'Rúbricas BP Dimensão aplicável'!$B$2:'Rúbricas BP Dimensão aplicável'!$AA$154,5,FALSE)</f>
        <v>0</v>
      </c>
      <c r="D47" s="35">
        <f>VLOOKUP($B47,'Rúbricas BP Dimensão aplicável'!$B$2:'Rúbricas BP Dimensão aplicável'!$AA$154,10,FALSE)</f>
        <v>42900</v>
      </c>
      <c r="E47" s="35">
        <f>VLOOKUP($B47,'Rúbricas BP Dimensão aplicável'!$B$2:'Rúbricas BP Dimensão aplicável'!$AA$154,15,FALSE)</f>
        <v>48600</v>
      </c>
      <c r="F47" s="35">
        <f>VLOOKUP($B47,'Rúbricas BP Dimensão aplicável'!$B$2:'Rúbricas BP Dimensão aplicável'!$AA$154,20,FALSE)</f>
        <v>43600</v>
      </c>
      <c r="G47" s="35">
        <f>VLOOKUP($B47,'Rúbricas BP Dimensão aplicável'!$B$2:'Rúbricas BP Dimensão aplicável'!$AA$154,25,FALSE)</f>
        <v>28900</v>
      </c>
    </row>
    <row r="48" spans="2:7" x14ac:dyDescent="0.3">
      <c r="B48" s="5" t="s">
        <v>312</v>
      </c>
      <c r="C48" s="35">
        <f>VLOOKUP($B48,'Rúbricas BP Dimensão aplicável'!$B$2:'Rúbricas BP Dimensão aplicável'!$AA$154,5,FALSE)</f>
        <v>0</v>
      </c>
      <c r="D48" s="35">
        <f>VLOOKUP($B48,'Rúbricas BP Dimensão aplicável'!$B$2:'Rúbricas BP Dimensão aplicável'!$AA$154,10,FALSE)</f>
        <v>40900</v>
      </c>
      <c r="E48" s="35">
        <f>VLOOKUP($B48,'Rúbricas BP Dimensão aplicável'!$B$2:'Rúbricas BP Dimensão aplicável'!$AA$154,15,FALSE)</f>
        <v>75800</v>
      </c>
      <c r="F48" s="35">
        <f>VLOOKUP($B48,'Rúbricas BP Dimensão aplicável'!$B$2:'Rúbricas BP Dimensão aplicável'!$AA$154,20,FALSE)</f>
        <v>104400</v>
      </c>
      <c r="G48" s="35">
        <f>VLOOKUP($B48,'Rúbricas BP Dimensão aplicável'!$B$2:'Rúbricas BP Dimensão aplicável'!$AA$154,25,FALSE)</f>
        <v>109600</v>
      </c>
    </row>
    <row r="49" spans="2:7" x14ac:dyDescent="0.3">
      <c r="B49" s="5" t="s">
        <v>153</v>
      </c>
      <c r="C49" s="35">
        <f>VLOOKUP($B49,'Rúbricas BP Dimensão aplicável'!$B$2:'Rúbricas BP Dimensão aplicável'!$AA$154,5,FALSE)</f>
        <v>0</v>
      </c>
      <c r="D49" s="35">
        <f>VLOOKUP($B49,'Rúbricas BP Dimensão aplicável'!$B$2:'Rúbricas BP Dimensão aplicável'!$AA$154,10,FALSE)</f>
        <v>105300</v>
      </c>
      <c r="E49" s="35">
        <f>VLOOKUP($B49,'Rúbricas BP Dimensão aplicável'!$B$2:'Rúbricas BP Dimensão aplicável'!$AA$154,15,FALSE)</f>
        <v>118500</v>
      </c>
      <c r="F49" s="35">
        <f>VLOOKUP($B49,'Rúbricas BP Dimensão aplicável'!$B$2:'Rúbricas BP Dimensão aplicável'!$AA$154,20,FALSE)</f>
        <v>120200</v>
      </c>
      <c r="G49" s="35">
        <f>VLOOKUP($B49,'Rúbricas BP Dimensão aplicável'!$B$2:'Rúbricas BP Dimensão aplicável'!$AA$154,25,FALSE)</f>
        <v>113300</v>
      </c>
    </row>
    <row r="50" spans="2:7" x14ac:dyDescent="0.3">
      <c r="B50" s="5" t="s">
        <v>154</v>
      </c>
      <c r="C50" s="35">
        <f>VLOOKUP($B50,'Rúbricas BP Dimensão aplicável'!$B$2:'Rúbricas BP Dimensão aplicável'!$AA$154,5,FALSE)</f>
        <v>0</v>
      </c>
      <c r="D50" s="35">
        <f>VLOOKUP($B50,'Rúbricas BP Dimensão aplicável'!$B$2:'Rúbricas BP Dimensão aplicável'!$AA$154,10,FALSE)</f>
        <v>5400</v>
      </c>
      <c r="E50" s="35">
        <f>VLOOKUP($B50,'Rúbricas BP Dimensão aplicável'!$B$2:'Rúbricas BP Dimensão aplicável'!$AA$154,15,FALSE)</f>
        <v>4800</v>
      </c>
      <c r="F50" s="35">
        <f>VLOOKUP($B50,'Rúbricas BP Dimensão aplicável'!$B$2:'Rúbricas BP Dimensão aplicável'!$AA$154,20,FALSE)</f>
        <v>4700</v>
      </c>
      <c r="G50" s="35">
        <f>VLOOKUP($B50,'Rúbricas BP Dimensão aplicável'!$B$2:'Rúbricas BP Dimensão aplicável'!$AA$154,25,FALSE)</f>
        <v>8200</v>
      </c>
    </row>
    <row r="51" spans="2:7" x14ac:dyDescent="0.3">
      <c r="B51" s="5" t="s">
        <v>156</v>
      </c>
      <c r="C51" s="22" t="e">
        <f>VLOOKUP(LEFT('Rúbricas BP Todas as dimensões'!$B$6,2)*1,Table5[],4,FALSE)/100</f>
        <v>#VALUE!</v>
      </c>
      <c r="D51" s="22" t="e">
        <f>VLOOKUP(LEFT('Rúbricas BP Todas as dimensões'!$B$6,2)*1,Table5[],5,FALSE)/100</f>
        <v>#VALUE!</v>
      </c>
      <c r="E51" s="22" t="e">
        <f>VLOOKUP(LEFT('Rúbricas BP Todas as dimensões'!$B$6,2)*1,Table5[],6,FALSE)/100</f>
        <v>#VALUE!</v>
      </c>
      <c r="F51" s="22" t="e">
        <f>VLOOKUP(LEFT('Rúbricas BP Todas as dimensões'!$B$6,2)*1,Table5[],7,FALSE)/100</f>
        <v>#VALUE!</v>
      </c>
      <c r="G51" s="22" t="e">
        <f>VLOOKUP(LEFT('Rúbricas BP Todas as dimensões'!$B$6,2)*1,Table5[],8,FALSE)/100</f>
        <v>#VALUE!</v>
      </c>
    </row>
    <row r="52" spans="2:7" x14ac:dyDescent="0.3">
      <c r="B52" s="5" t="s">
        <v>275</v>
      </c>
      <c r="C52" s="42">
        <f>VLOOKUP($B52,'Rúbricas BP Dimensão aplicável'!$B$2:'Rúbricas BP Dimensão aplicável'!$AA$154,5,FALSE)</f>
        <v>0</v>
      </c>
      <c r="D52" s="42">
        <f>VLOOKUP($B52,'Rúbricas BP Dimensão aplicável'!$B$2:'Rúbricas BP Dimensão aplicável'!$AA$154,10,FALSE)</f>
        <v>36</v>
      </c>
      <c r="E52" s="42">
        <f>VLOOKUP($B52,'Rúbricas BP Dimensão aplicável'!$B$2:'Rúbricas BP Dimensão aplicável'!$AA$154,15,FALSE)</f>
        <v>68</v>
      </c>
      <c r="F52" s="42">
        <f>VLOOKUP($B52,'Rúbricas BP Dimensão aplicável'!$B$2:'Rúbricas BP Dimensão aplicável'!$AA$154,20,FALSE)</f>
        <v>65</v>
      </c>
      <c r="G52" s="42">
        <f>VLOOKUP($B52,'Rúbricas BP Dimensão aplicável'!$B$2:'Rúbricas BP Dimensão aplicável'!$AA$154,25,FALSE)</f>
        <v>44</v>
      </c>
    </row>
    <row r="53" spans="2:7" x14ac:dyDescent="0.3">
      <c r="B53" s="5" t="s">
        <v>158</v>
      </c>
      <c r="C53" s="42">
        <f>VLOOKUP($B53,'Rúbricas BP Dimensão aplicável'!$B$2:'Rúbricas BP Dimensão aplicável'!$AA$154,5,FALSE)</f>
        <v>0</v>
      </c>
      <c r="D53" s="42">
        <f>VLOOKUP($B53,'Rúbricas BP Dimensão aplicável'!$B$2:'Rúbricas BP Dimensão aplicável'!$AA$154,10,FALSE)</f>
        <v>30</v>
      </c>
      <c r="E53" s="42">
        <f>VLOOKUP($B53,'Rúbricas BP Dimensão aplicável'!$B$2:'Rúbricas BP Dimensão aplicável'!$AA$154,15,FALSE)</f>
        <v>50</v>
      </c>
      <c r="F53" s="42">
        <f>VLOOKUP($B53,'Rúbricas BP Dimensão aplicável'!$B$2:'Rúbricas BP Dimensão aplicável'!$AA$154,20,FALSE)</f>
        <v>32</v>
      </c>
      <c r="G53" s="42">
        <f>VLOOKUP($B53,'Rúbricas BP Dimensão aplicável'!$B$2:'Rúbricas BP Dimensão aplicável'!$AA$154,25,FALSE)</f>
        <v>26</v>
      </c>
    </row>
    <row r="54" spans="2:7" x14ac:dyDescent="0.3">
      <c r="B54" s="5" t="s">
        <v>159</v>
      </c>
      <c r="C54" s="35">
        <f>VLOOKUP($B54,'Rúbricas BP Dimensão aplicável'!$B$2:'Rúbricas BP Dimensão aplicável'!$AA$154,5,FALSE)</f>
        <v>0</v>
      </c>
      <c r="D54" s="35">
        <f>VLOOKUP($B54,'Rúbricas BP Dimensão aplicável'!$B$2:'Rúbricas BP Dimensão aplicável'!$AA$154,10,FALSE)</f>
        <v>24100</v>
      </c>
      <c r="E54" s="35">
        <f>VLOOKUP($B54,'Rúbricas BP Dimensão aplicável'!$B$2:'Rúbricas BP Dimensão aplicável'!$AA$154,15,FALSE)</f>
        <v>22100</v>
      </c>
      <c r="F54" s="35">
        <f>VLOOKUP($B54,'Rúbricas BP Dimensão aplicável'!$B$2:'Rúbricas BP Dimensão aplicável'!$AA$154,20,FALSE)</f>
        <v>2700</v>
      </c>
      <c r="G54" s="35">
        <f>VLOOKUP($B54,'Rúbricas BP Dimensão aplicável'!$B$2:'Rúbricas BP Dimensão aplicável'!$AA$154,25,FALSE)</f>
        <v>43600</v>
      </c>
    </row>
    <row r="55" spans="2:7" x14ac:dyDescent="0.3">
      <c r="B55" s="5" t="s">
        <v>264</v>
      </c>
      <c r="C55" s="88">
        <f>VLOOKUP($B$25,'Rúbricas BP Dimensão aplicável'!$B$2:'Rúbricas BP Dimensão aplicável'!$AA$154,5,FALSE)</f>
        <v>0</v>
      </c>
      <c r="D55" s="88">
        <f>VLOOKUP($B$25,'Rúbricas BP Dimensão aplicável'!$B$2:'Rúbricas BP Dimensão aplicável'!$AA$154,10,FALSE)</f>
        <v>3</v>
      </c>
      <c r="E55" s="88">
        <f>VLOOKUP($B$25,'Rúbricas BP Dimensão aplicável'!$B$2:'Rúbricas BP Dimensão aplicável'!$AA$154,15,FALSE)</f>
        <v>3</v>
      </c>
      <c r="F55" s="88">
        <f>VLOOKUP($B$25,'Rúbricas BP Dimensão aplicável'!$B$2:'Rúbricas BP Dimensão aplicável'!$AA$154,20,FALSE)</f>
        <v>3</v>
      </c>
      <c r="G55" s="88">
        <f>VLOOKUP($B$25,'Rúbricas BP Dimensão aplicável'!$B$2:'Rúbricas BP Dimensão aplicável'!$AA$154,25,FALSE)</f>
        <v>3</v>
      </c>
    </row>
    <row r="56" spans="2:7" x14ac:dyDescent="0.3">
      <c r="B56" s="5" t="s">
        <v>462</v>
      </c>
      <c r="C56" s="89">
        <f>VLOOKUP($B$26,'Rúbricas BP Dimensão aplicável'!$B$2:'Rúbricas BP Dimensão aplicável'!$AA$154,5,FALSE)</f>
        <v>0</v>
      </c>
      <c r="D56" s="89">
        <f>VLOOKUP($B$26,'Rúbricas BP Dimensão aplicável'!$B$2:'Rúbricas BP Dimensão aplicável'!$AA$154,10,FALSE)</f>
        <v>75000</v>
      </c>
      <c r="E56" s="89">
        <f>VLOOKUP($B$26,'Rúbricas BP Dimensão aplicável'!$B$2:'Rúbricas BP Dimensão aplicável'!$AA$154,15,FALSE)</f>
        <v>75500</v>
      </c>
      <c r="F56" s="89">
        <f>VLOOKUP($B$26,'Rúbricas BP Dimensão aplicável'!$B$2:'Rúbricas BP Dimensão aplicável'!$AA$154,20,FALSE)</f>
        <v>69700</v>
      </c>
      <c r="G56" s="89">
        <f>VLOOKUP($B$26,'Rúbricas BP Dimensão aplicável'!$B$2:'Rúbricas BP Dimensão aplicável'!$AA$154,25,FALSE)</f>
        <v>100100</v>
      </c>
    </row>
    <row r="57" spans="2:7" x14ac:dyDescent="0.3">
      <c r="B57" s="5" t="s">
        <v>454</v>
      </c>
      <c r="C57" s="90" t="e">
        <f>'Rúbricas BP Dimensão aplicável'!$G$153/'Rúbricas BP Dimensão aplicável'!$G$152</f>
        <v>#DIV/0!</v>
      </c>
      <c r="D57" s="90">
        <f>'Rúbricas BP Dimensão aplicável'!$K$153/'Rúbricas BP Dimensão aplicável'!$K$152</f>
        <v>5.4365400161681489E-2</v>
      </c>
      <c r="E57" s="90">
        <f>'Rúbricas BP Dimensão aplicável'!$Q$153/'Rúbricas BP Dimensão aplicável'!$Q$152</f>
        <v>8.5751288884461166E-2</v>
      </c>
      <c r="F57" s="90">
        <f>'Rúbricas BP Dimensão aplicável'!$V$153/'Rúbricas BP Dimensão aplicável'!$V$152</f>
        <v>8.3177228491798788E-2</v>
      </c>
      <c r="G57" s="90">
        <f>'Rúbricas BP Dimensão aplicável'!$AA$153/'Rúbricas BP Dimensão aplicável'!$AA$152</f>
        <v>9.6445990594898875E-2</v>
      </c>
    </row>
    <row r="58" spans="2:7" x14ac:dyDescent="0.3">
      <c r="B58" s="5" t="s">
        <v>307</v>
      </c>
      <c r="C58" s="22">
        <f>VLOOKUP(B58,'Rúbricas BP Dimensão aplicável'!$B$16:'Rúbricas BP Dimensão aplicável'!$AA$154,5,FALSE)/100</f>
        <v>0</v>
      </c>
      <c r="D58" s="22">
        <f>VLOOKUP(B58,'Rúbricas BP Dimensão aplicável'!$B$2:'Rúbricas BP Dimensão aplicável'!$AA$154,10,FALSE)/100</f>
        <v>0.15160000000000001</v>
      </c>
      <c r="E58" s="22">
        <f>VLOOKUP(B58,'Rúbricas BP Dimensão aplicável'!$B$2:'Rúbricas BP Dimensão aplicável'!$AA$154,15,FALSE)/100</f>
        <v>0.1686</v>
      </c>
      <c r="F58" s="22">
        <f>VLOOKUP(B58,'Rúbricas BP Dimensão aplicável'!$B$2:'Rúbricas BP Dimensão aplicável'!$AA$154,20,FALSE)/100</f>
        <v>0.1444</v>
      </c>
      <c r="G58" s="22">
        <f>VLOOKUP(B58,'Rúbricas BP Dimensão aplicável'!$B$2:'Rúbricas BP Dimensão aplicável'!$AA$154,25,FALSE)/100</f>
        <v>0.161</v>
      </c>
    </row>
    <row r="59" spans="2:7" x14ac:dyDescent="0.3">
      <c r="B59" s="83"/>
      <c r="C59" s="85"/>
      <c r="D59" s="85"/>
      <c r="E59" s="35"/>
      <c r="F59" s="85"/>
      <c r="G59" s="85"/>
    </row>
    <row r="60" spans="2:7" x14ac:dyDescent="0.3">
      <c r="B60" s="83"/>
      <c r="C60" s="85"/>
      <c r="D60" s="85"/>
      <c r="E60" s="35"/>
      <c r="F60" s="85"/>
      <c r="G60" s="85"/>
    </row>
    <row r="61" spans="2:7" x14ac:dyDescent="0.3">
      <c r="B61" s="83"/>
      <c r="C61" s="85"/>
      <c r="D61" s="85"/>
      <c r="E61" s="35"/>
      <c r="F61" s="85"/>
      <c r="G61" s="85"/>
    </row>
    <row r="62" spans="2:7" x14ac:dyDescent="0.3">
      <c r="B62" s="83"/>
      <c r="C62" s="85"/>
      <c r="D62" s="85"/>
      <c r="E62" s="35"/>
      <c r="F62" s="85"/>
      <c r="G62" s="85"/>
    </row>
    <row r="63" spans="2:7" x14ac:dyDescent="0.3">
      <c r="B63" s="83"/>
      <c r="C63" s="85"/>
      <c r="D63" s="85"/>
      <c r="E63" s="35"/>
      <c r="F63" s="85"/>
      <c r="G63" s="85"/>
    </row>
    <row r="64" spans="2:7" x14ac:dyDescent="0.3">
      <c r="B64" s="83"/>
      <c r="C64" s="85"/>
      <c r="D64" s="85"/>
      <c r="E64" s="35"/>
      <c r="F64" s="85"/>
      <c r="G64" s="85"/>
    </row>
    <row r="65" spans="1:7" x14ac:dyDescent="0.3">
      <c r="A65" s="114" t="str">
        <f>_xlfn.CONCAT("Quartis - ", 'Rúbricas BP Todas as dimensões'!B6)</f>
        <v>Quartis - Ativo</v>
      </c>
      <c r="B65" s="114"/>
      <c r="C65" s="114"/>
      <c r="D65" s="114"/>
      <c r="E65" s="114"/>
      <c r="F65" s="114"/>
      <c r="G65" s="114"/>
    </row>
    <row r="66" spans="1:7" x14ac:dyDescent="0.3">
      <c r="A66" s="11" t="s">
        <v>464</v>
      </c>
      <c r="B66" s="1" t="s">
        <v>465</v>
      </c>
      <c r="C66" s="1">
        <v>2017</v>
      </c>
      <c r="D66" s="1">
        <v>2018</v>
      </c>
      <c r="E66" s="1">
        <v>2019</v>
      </c>
      <c r="F66" s="1">
        <v>2020</v>
      </c>
      <c r="G66" s="1">
        <v>2021</v>
      </c>
    </row>
    <row r="67" spans="1:7" x14ac:dyDescent="0.3">
      <c r="A67" s="119" t="s">
        <v>119</v>
      </c>
      <c r="B67" s="92" t="s">
        <v>466</v>
      </c>
      <c r="C67" s="93">
        <f>VLOOKUP($A$67,'Rúbricas BP Todas as dimensões'!$B$2:$AA$157,2,FALSE)/100</f>
        <v>0</v>
      </c>
      <c r="D67" s="93">
        <f>VLOOKUP($A$67,'Rúbricas BP Todas as dimensões'!$B$2:$AA$157,7,FALSE)/100</f>
        <v>0.9294</v>
      </c>
      <c r="E67" s="93">
        <f>VLOOKUP($A$67,'Rúbricas BP Todas as dimensões'!$B$2:$AA$157,12,FALSE)/100</f>
        <v>1.0392000000000001</v>
      </c>
      <c r="F67" s="93">
        <f>VLOOKUP($A$67,'Rúbricas BP Todas as dimensões'!$B$2:$AA$157,17,FALSE)/100</f>
        <v>1.2092000000000001</v>
      </c>
      <c r="G67" s="93">
        <f>VLOOKUP($A$67,'Rúbricas BP Todas as dimensões'!$B$2:$AA$157,22,FALSE)/100</f>
        <v>1.2068000000000001</v>
      </c>
    </row>
    <row r="68" spans="1:7" x14ac:dyDescent="0.3">
      <c r="A68" s="120"/>
      <c r="B68" s="92" t="s">
        <v>467</v>
      </c>
      <c r="C68" s="93">
        <f>VLOOKUP($A$67,'Rúbricas BP Todas as dimensões'!$B$2:$AA$157,3,FALSE)/100</f>
        <v>0</v>
      </c>
      <c r="D68" s="93">
        <f>VLOOKUP($A$67,'Rúbricas BP Todas as dimensões'!$B$2:$AA$157,8,FALSE)/100</f>
        <v>1.6547000000000001</v>
      </c>
      <c r="E68" s="93">
        <f>VLOOKUP($A$67,'Rúbricas BP Todas as dimensões'!$B$2:$AA$157,13,FALSE)/100</f>
        <v>1.9625999999999999</v>
      </c>
      <c r="F68" s="93">
        <f>VLOOKUP($A$67,'Rúbricas BP Todas as dimensões'!$B$2:$AA$157,18,FALSE)/100</f>
        <v>2.2631999999999999</v>
      </c>
      <c r="G68" s="93">
        <f>VLOOKUP($A$67,'Rúbricas BP Todas as dimensões'!$B$2:$AA$157,23,FALSE)/100</f>
        <v>2.2404999999999999</v>
      </c>
    </row>
    <row r="69" spans="1:7" x14ac:dyDescent="0.3">
      <c r="A69" s="121"/>
      <c r="B69" s="92" t="s">
        <v>468</v>
      </c>
      <c r="C69" s="93">
        <f>VLOOKUP($A$67,'Rúbricas BP Todas as dimensões'!$B$2:$AA$157,4,FALSE)/100</f>
        <v>0</v>
      </c>
      <c r="D69" s="93">
        <f>VLOOKUP($A$67,'Rúbricas BP Todas as dimensões'!$B$2:$AA$157,9,FALSE)/100</f>
        <v>4.0505000000000004</v>
      </c>
      <c r="E69" s="93">
        <f>VLOOKUP($A$67,'Rúbricas BP Todas as dimensões'!$B$2:$AA$157,14,FALSE)/100</f>
        <v>4.4035000000000002</v>
      </c>
      <c r="F69" s="93">
        <f>VLOOKUP($A$67,'Rúbricas BP Todas as dimensões'!$B$2:$AA$157,19,FALSE)/100</f>
        <v>4.2991000000000001</v>
      </c>
      <c r="G69" s="93">
        <f>VLOOKUP($A$67,'Rúbricas BP Todas as dimensões'!$B$2:$AA$157,24,FALSE)/100</f>
        <v>4.6016000000000004</v>
      </c>
    </row>
    <row r="70" spans="1:7" x14ac:dyDescent="0.3">
      <c r="A70" s="122" t="s">
        <v>121</v>
      </c>
      <c r="B70" t="s">
        <v>466</v>
      </c>
      <c r="C70" s="94">
        <f>VLOOKUP($A$70,'Rúbricas BP Todas as dimensões'!$B$2:$AA$157,2,FALSE)/100</f>
        <v>0</v>
      </c>
      <c r="D70" s="94">
        <f>VLOOKUP($A$70,'Rúbricas BP Todas as dimensões'!$B$2:$AA$157,7,FALSE)/100</f>
        <v>0.51490000000000002</v>
      </c>
      <c r="E70" s="94">
        <f>VLOOKUP($A$70,'Rúbricas BP Todas as dimensões'!$B$2:$AA$157,12,FALSE)/100</f>
        <v>0.54789999999999994</v>
      </c>
      <c r="F70" s="94">
        <f>VLOOKUP($A$70,'Rúbricas BP Todas as dimensões'!$B$2:$AA$157,17,FALSE)/100</f>
        <v>0.67680000000000007</v>
      </c>
      <c r="G70" s="94">
        <f>VLOOKUP($A$70,'Rúbricas BP Todas as dimensões'!$B$2:$AA$157,22,FALSE)/100</f>
        <v>0.80720000000000003</v>
      </c>
    </row>
    <row r="71" spans="1:7" x14ac:dyDescent="0.3">
      <c r="A71" s="123"/>
      <c r="B71" t="s">
        <v>467</v>
      </c>
      <c r="C71" s="94">
        <f>VLOOKUP($A$70,'Rúbricas BP Todas as dimensões'!$B$2:$AA$157,3,FALSE)/100</f>
        <v>0</v>
      </c>
      <c r="D71" s="94">
        <f>VLOOKUP($A$70,'Rúbricas BP Todas as dimensões'!$B$2:$AA$157,8,FALSE)/100</f>
        <v>0.98939999999999995</v>
      </c>
      <c r="E71" s="94">
        <f>VLOOKUP($A$70,'Rúbricas BP Todas as dimensões'!$B$2:$AA$157,13,FALSE)/100</f>
        <v>1.2067000000000001</v>
      </c>
      <c r="F71" s="94">
        <f>VLOOKUP($A$70,'Rúbricas BP Todas as dimensões'!$B$2:$AA$157,18,FALSE)/100</f>
        <v>1.4458000000000002</v>
      </c>
      <c r="G71" s="94">
        <f>VLOOKUP($A$70,'Rúbricas BP Todas as dimensões'!$B$2:$AA$157,23,FALSE)/100</f>
        <v>1.9015</v>
      </c>
    </row>
    <row r="72" spans="1:7" x14ac:dyDescent="0.3">
      <c r="A72" s="124"/>
      <c r="B72" t="s">
        <v>468</v>
      </c>
      <c r="C72" s="94">
        <f>VLOOKUP($A$70,'Rúbricas BP Todas as dimensões'!$B$2:$AA$157,4,FALSE)/100</f>
        <v>0</v>
      </c>
      <c r="D72" s="94">
        <f>VLOOKUP($A$70,'Rúbricas BP Todas as dimensões'!$B$2:$AA$157,9,FALSE)/100</f>
        <v>3.3963999999999999</v>
      </c>
      <c r="E72" s="94">
        <f>VLOOKUP($A$70,'Rúbricas BP Todas as dimensões'!$B$2:$AA$157,14,FALSE)/100</f>
        <v>3.2848999999999999</v>
      </c>
      <c r="F72" s="94">
        <f>VLOOKUP($A$70,'Rúbricas BP Todas as dimensões'!$B$2:$AA$157,19,FALSE)/100</f>
        <v>3.2567000000000004</v>
      </c>
      <c r="G72" s="94">
        <f>VLOOKUP($A$70,'Rúbricas BP Todas as dimensões'!$B$2:$AA$157,24,FALSE)/100</f>
        <v>3.7850000000000001</v>
      </c>
    </row>
    <row r="73" spans="1:7" x14ac:dyDescent="0.3">
      <c r="A73" s="119" t="s">
        <v>94</v>
      </c>
      <c r="B73" s="92" t="s">
        <v>466</v>
      </c>
      <c r="C73" s="93">
        <f>VLOOKUP($A$73,'Rúbricas BP Todas as dimensões'!$B$2:$AA$157,2,FALSE)/100</f>
        <v>0</v>
      </c>
      <c r="D73" s="93">
        <f>VLOOKUP($A$73,'Rúbricas BP Todas as dimensões'!$B$2:$AA$157,7,FALSE)/100</f>
        <v>0.16</v>
      </c>
      <c r="E73" s="93">
        <f>VLOOKUP($A$73,'Rúbricas BP Todas as dimensões'!$B$2:$AA$157,12,FALSE)/100</f>
        <v>0.15229999999999999</v>
      </c>
      <c r="F73" s="93">
        <f>VLOOKUP($A$73,'Rúbricas BP Todas as dimensões'!$B$2:$AA$157,17,FALSE)/100</f>
        <v>0.1668</v>
      </c>
      <c r="G73" s="93">
        <f>VLOOKUP($A$73,'Rúbricas BP Todas as dimensões'!$B$2:$AA$157,22,FALSE)/100</f>
        <v>0.18679999999999999</v>
      </c>
    </row>
    <row r="74" spans="1:7" x14ac:dyDescent="0.3">
      <c r="A74" s="120"/>
      <c r="B74" s="92" t="s">
        <v>467</v>
      </c>
      <c r="C74" s="93">
        <f>VLOOKUP($A$73,'Rúbricas BP Todas as dimensões'!$B$2:$AA$157,3,FALSE)/100</f>
        <v>0</v>
      </c>
      <c r="D74" s="93">
        <f>VLOOKUP($A$73,'Rúbricas BP Todas as dimensões'!$B$2:$AA$157,8,FALSE)/100</f>
        <v>0.38090000000000002</v>
      </c>
      <c r="E74" s="93">
        <f>VLOOKUP($A$73,'Rúbricas BP Todas as dimensões'!$B$2:$AA$157,13,FALSE)/100</f>
        <v>0.39450000000000002</v>
      </c>
      <c r="F74" s="93">
        <f>VLOOKUP($A$73,'Rúbricas BP Todas as dimensões'!$B$2:$AA$157,18,FALSE)/100</f>
        <v>0.43829999999999997</v>
      </c>
      <c r="G74" s="93">
        <f>VLOOKUP($A$73,'Rúbricas BP Todas as dimensões'!$B$2:$AA$157,23,FALSE)/100</f>
        <v>0.48039999999999999</v>
      </c>
    </row>
    <row r="75" spans="1:7" x14ac:dyDescent="0.3">
      <c r="A75" s="121"/>
      <c r="B75" s="92" t="s">
        <v>468</v>
      </c>
      <c r="C75" s="93">
        <f>VLOOKUP($A$73,'Rúbricas BP Todas as dimensões'!$B$2:$AA$157,4,FALSE)/100</f>
        <v>0</v>
      </c>
      <c r="D75" s="93">
        <f>VLOOKUP($A$73,'Rúbricas BP Todas as dimensões'!$B$2:$AA$157,9,FALSE)/100</f>
        <v>0.7006</v>
      </c>
      <c r="E75" s="93">
        <f>VLOOKUP($A$73,'Rúbricas BP Todas as dimensões'!$B$2:$AA$157,14,FALSE)/100</f>
        <v>0.67469999999999997</v>
      </c>
      <c r="F75" s="93">
        <f>VLOOKUP($A$73,'Rúbricas BP Todas as dimensões'!$B$2:$AA$157,19,FALSE)/100</f>
        <v>0.74269999999999992</v>
      </c>
      <c r="G75" s="93">
        <f>VLOOKUP($A$73,'Rúbricas BP Todas as dimensões'!$B$2:$AA$157,24,FALSE)/100</f>
        <v>0.72750000000000004</v>
      </c>
    </row>
    <row r="76" spans="1:7" x14ac:dyDescent="0.3">
      <c r="A76" s="122" t="s">
        <v>131</v>
      </c>
      <c r="B76" t="s">
        <v>466</v>
      </c>
      <c r="C76" s="94">
        <f>VLOOKUP($A$76,'Rúbricas BP Todas as dimensões'!$B$2:$AA$157,2,FALSE)/100</f>
        <v>0</v>
      </c>
      <c r="D76" s="94">
        <f>VLOOKUP($A$76,'Rúbricas BP Todas as dimensões'!$B$2:$AA$157,7,FALSE)/100</f>
        <v>8.9999999999999998E-4</v>
      </c>
      <c r="E76" s="94">
        <f>VLOOKUP($A$76,'Rúbricas BP Todas as dimensões'!$B$2:$AA$157,12,FALSE)/100</f>
        <v>0</v>
      </c>
      <c r="F76" s="94">
        <f>VLOOKUP($A$76,'Rúbricas BP Todas as dimensões'!$B$2:$AA$157,17,FALSE)/100</f>
        <v>0</v>
      </c>
      <c r="G76" s="94">
        <f>VLOOKUP($A$76,'Rúbricas BP Todas as dimensões'!$B$2:$AA$157,22,FALSE)/100</f>
        <v>0</v>
      </c>
    </row>
    <row r="77" spans="1:7" x14ac:dyDescent="0.3">
      <c r="A77" s="123"/>
      <c r="B77" t="s">
        <v>467</v>
      </c>
      <c r="C77" s="94">
        <f>VLOOKUP($A$76,'Rúbricas BP Todas as dimensões'!$B$2:$AA$157,3,FALSE)/100</f>
        <v>0</v>
      </c>
      <c r="D77" s="94">
        <f>VLOOKUP($A$76,'Rúbricas BP Todas as dimensões'!$B$2:$AA$157,8,FALSE)/100</f>
        <v>0.37369999999999998</v>
      </c>
      <c r="E77" s="94">
        <f>VLOOKUP($A$76,'Rúbricas BP Todas as dimensões'!$B$2:$AA$157,13,FALSE)/100</f>
        <v>0.3579</v>
      </c>
      <c r="F77" s="94">
        <f>VLOOKUP($A$76,'Rúbricas BP Todas as dimensões'!$B$2:$AA$157,18,FALSE)/100</f>
        <v>0.30120000000000002</v>
      </c>
      <c r="G77" s="94">
        <f>VLOOKUP($A$76,'Rúbricas BP Todas as dimensões'!$B$2:$AA$157,23,FALSE)/100</f>
        <v>0.2361</v>
      </c>
    </row>
    <row r="78" spans="1:7" x14ac:dyDescent="0.3">
      <c r="A78" s="124"/>
      <c r="B78" t="s">
        <v>468</v>
      </c>
      <c r="C78" s="94">
        <f>VLOOKUP($A$76,'Rúbricas BP Todas as dimensões'!$B$2:$AA$157,4,FALSE)/100</f>
        <v>0</v>
      </c>
      <c r="D78" s="94">
        <f>VLOOKUP($A$76,'Rúbricas BP Todas as dimensões'!$B$2:$AA$157,9,FALSE)/100</f>
        <v>0.64419999999999999</v>
      </c>
      <c r="E78" s="94">
        <f>VLOOKUP($A$76,'Rúbricas BP Todas as dimensões'!$B$2:$AA$157,14,FALSE)/100</f>
        <v>0.70609999999999995</v>
      </c>
      <c r="F78" s="94">
        <f>VLOOKUP($A$76,'Rúbricas BP Todas as dimensões'!$B$2:$AA$157,19,FALSE)/100</f>
        <v>0.62570000000000003</v>
      </c>
      <c r="G78" s="94">
        <f>VLOOKUP($A$76,'Rúbricas BP Todas as dimensões'!$B$2:$AA$157,24,FALSE)/100</f>
        <v>0.6079</v>
      </c>
    </row>
    <row r="79" spans="1:7" x14ac:dyDescent="0.3">
      <c r="A79" s="119" t="s">
        <v>258</v>
      </c>
      <c r="B79" s="92" t="s">
        <v>466</v>
      </c>
      <c r="C79" s="93">
        <f>VLOOKUP($A$79,'Rúbricas BP Todas as dimensões'!$B$2:$AA$157,2,FALSE)/100</f>
        <v>0</v>
      </c>
      <c r="D79" s="93">
        <f>VLOOKUP($A$79,'Rúbricas BP Todas as dimensões'!$B$2:$AA$157,7,FALSE)/100</f>
        <v>2.41E-2</v>
      </c>
      <c r="E79" s="93">
        <f>VLOOKUP($A$79,'Rúbricas BP Todas as dimensões'!$B$2:$AA$157,12,FALSE)/100</f>
        <v>7.7000000000000002E-3</v>
      </c>
      <c r="F79" s="93">
        <f>VLOOKUP($A$79,'Rúbricas BP Todas as dimensões'!$B$2:$AA$157,17,FALSE)/100</f>
        <v>1.9E-2</v>
      </c>
      <c r="G79" s="93">
        <f>VLOOKUP($A$79,'Rúbricas BP Todas as dimensões'!$B$2:$AA$157,22,FALSE)/100</f>
        <v>3.1600000000000003E-2</v>
      </c>
    </row>
    <row r="80" spans="1:7" x14ac:dyDescent="0.3">
      <c r="A80" s="120"/>
      <c r="B80" s="92" t="s">
        <v>467</v>
      </c>
      <c r="C80" s="93">
        <f>VLOOKUP($A$79,'Rúbricas BP Todas as dimensões'!$B$2:$AA$157,3,FALSE)/100</f>
        <v>0</v>
      </c>
      <c r="D80" s="93">
        <f>VLOOKUP($A$79,'Rúbricas BP Todas as dimensões'!$B$2:$AA$157,8,FALSE)/100</f>
        <v>6.2400000000000004E-2</v>
      </c>
      <c r="E80" s="93">
        <f>VLOOKUP($A$79,'Rúbricas BP Todas as dimensões'!$B$2:$AA$157,13,FALSE)/100</f>
        <v>4.6199999999999998E-2</v>
      </c>
      <c r="F80" s="93">
        <f>VLOOKUP($A$79,'Rúbricas BP Todas as dimensões'!$B$2:$AA$157,18,FALSE)/100</f>
        <v>6.6600000000000006E-2</v>
      </c>
      <c r="G80" s="93">
        <f>VLOOKUP($A$79,'Rúbricas BP Todas as dimensões'!$B$2:$AA$157,23,FALSE)/100</f>
        <v>9.2399999999999996E-2</v>
      </c>
    </row>
    <row r="81" spans="1:7" x14ac:dyDescent="0.3">
      <c r="A81" s="120"/>
      <c r="B81" s="92" t="s">
        <v>468</v>
      </c>
      <c r="C81" s="93">
        <f>VLOOKUP($A$79,'Rúbricas BP Todas as dimensões'!$B$2:$AA$157,4,FALSE)/100</f>
        <v>0</v>
      </c>
      <c r="D81" s="93">
        <f>VLOOKUP($A$79,'Rúbricas BP Todas as dimensões'!$B$2:$AA$157,9,FALSE)/100</f>
        <v>0.1103</v>
      </c>
      <c r="E81" s="93">
        <f>VLOOKUP($A$79,'Rúbricas BP Todas as dimensões'!$B$2:$AA$157,14,FALSE)/100</f>
        <v>9.7599999999999992E-2</v>
      </c>
      <c r="F81" s="93">
        <f>VLOOKUP($A$79,'Rúbricas BP Todas as dimensões'!$B$2:$AA$157,19,FALSE)/100</f>
        <v>0.1331</v>
      </c>
      <c r="G81" s="93">
        <f>VLOOKUP($A$79,'Rúbricas BP Todas as dimensões'!$B$2:$AA$157,24,FALSE)/100</f>
        <v>0.17519999999999999</v>
      </c>
    </row>
    <row r="82" spans="1:7" x14ac:dyDescent="0.3">
      <c r="A82" s="123" t="s">
        <v>284</v>
      </c>
      <c r="B82" t="s">
        <v>466</v>
      </c>
      <c r="C82" s="94" t="e">
        <f>VLOOKUP($A$82,'Rúbricas BP Todas as dimensões'!$B$2:$AA$157,2,FALSE)/100</f>
        <v>#N/A</v>
      </c>
      <c r="D82" s="94" t="e">
        <f>VLOOKUP($A$82,'Rúbricas BP Todas as dimensões'!$B$2:$AA$157,7,FALSE)/100</f>
        <v>#N/A</v>
      </c>
      <c r="E82" s="94" t="e">
        <f>VLOOKUP($A$82,'Rúbricas BP Todas as dimensões'!$B$2:$AA$157,12,FALSE)/100</f>
        <v>#N/A</v>
      </c>
      <c r="F82" s="94" t="e">
        <f>VLOOKUP($A$82,'Rúbricas BP Todas as dimensões'!$B$2:$AA$157,17,FALSE)/100</f>
        <v>#N/A</v>
      </c>
      <c r="G82" s="94" t="e">
        <f>VLOOKUP($A$82,'Rúbricas BP Todas as dimensões'!$B$2:$AA$157,22,FALSE)/100</f>
        <v>#N/A</v>
      </c>
    </row>
    <row r="83" spans="1:7" x14ac:dyDescent="0.3">
      <c r="A83" s="123"/>
      <c r="B83" t="s">
        <v>467</v>
      </c>
      <c r="C83" s="94" t="e">
        <f>VLOOKUP($A$82,'Rúbricas BP Todas as dimensões'!$B$2:$AA$157,3,FALSE)/100</f>
        <v>#N/A</v>
      </c>
      <c r="D83" s="94" t="e">
        <f>VLOOKUP($A$82,'Rúbricas BP Todas as dimensões'!$B$2:$AA$157,8,FALSE)/100</f>
        <v>#N/A</v>
      </c>
      <c r="E83" s="94" t="e">
        <f>VLOOKUP($A$82,'Rúbricas BP Todas as dimensões'!$B$2:$AA$157,13,FALSE)/100</f>
        <v>#N/A</v>
      </c>
      <c r="F83" s="94" t="e">
        <f>VLOOKUP($A$82,'Rúbricas BP Todas as dimensões'!$B$2:$AA$157,18,FALSE)/100</f>
        <v>#N/A</v>
      </c>
      <c r="G83" s="94" t="e">
        <f>VLOOKUP($A$82,'Rúbricas BP Todas as dimensões'!$B$2:$AA$157,23,FALSE)/100</f>
        <v>#N/A</v>
      </c>
    </row>
    <row r="84" spans="1:7" x14ac:dyDescent="0.3">
      <c r="A84" s="123"/>
      <c r="B84" t="s">
        <v>468</v>
      </c>
      <c r="C84" s="94" t="e">
        <f>VLOOKUP($A$82,'Rúbricas BP Todas as dimensões'!$B$2:$AA$157,4,FALSE)/100</f>
        <v>#N/A</v>
      </c>
      <c r="D84" s="94" t="e">
        <f>VLOOKUP($A$82,'Rúbricas BP Todas as dimensões'!$B$2:$AA$157,9,FALSE)/100</f>
        <v>#N/A</v>
      </c>
      <c r="E84" s="94" t="e">
        <f>VLOOKUP($A$82,'Rúbricas BP Todas as dimensões'!$B$2:$AA$157,14,FALSE)/100</f>
        <v>#N/A</v>
      </c>
      <c r="F84" s="94" t="e">
        <f>VLOOKUP($A$82,'Rúbricas BP Todas as dimensões'!$B$2:$AA$157,19,FALSE)/100</f>
        <v>#N/A</v>
      </c>
      <c r="G84" s="94" t="e">
        <f>VLOOKUP($A$82,'Rúbricas BP Todas as dimensões'!$B$2:$AA$157,24,FALSE)/100</f>
        <v>#N/A</v>
      </c>
    </row>
    <row r="85" spans="1:7" x14ac:dyDescent="0.3">
      <c r="A85" t="s">
        <v>471</v>
      </c>
      <c r="E85" s="35"/>
    </row>
    <row r="86" spans="1:7" x14ac:dyDescent="0.3">
      <c r="E86" s="85"/>
    </row>
    <row r="87" spans="1:7" x14ac:dyDescent="0.3">
      <c r="A87" s="114" t="str">
        <f>_xlfn.CONCAT("Quartis - ", 'Rúbricas BP Dimensão aplicável'!B2)</f>
        <v>Quartis - 38321 - Valorização de resíduos metálicos; Microempresas</v>
      </c>
      <c r="B87" s="114"/>
      <c r="C87" s="114"/>
      <c r="D87" s="114"/>
      <c r="E87" s="114"/>
      <c r="F87" s="114"/>
      <c r="G87" s="114"/>
    </row>
    <row r="88" spans="1:7" x14ac:dyDescent="0.3">
      <c r="A88" s="11" t="s">
        <v>464</v>
      </c>
      <c r="B88" s="1" t="s">
        <v>465</v>
      </c>
      <c r="C88" s="1">
        <v>2017</v>
      </c>
      <c r="D88" s="1">
        <v>2018</v>
      </c>
      <c r="E88" s="1">
        <v>2019</v>
      </c>
      <c r="F88" s="1">
        <v>2020</v>
      </c>
      <c r="G88" s="1">
        <v>2021</v>
      </c>
    </row>
    <row r="89" spans="1:7" x14ac:dyDescent="0.3">
      <c r="A89" s="119" t="s">
        <v>119</v>
      </c>
      <c r="B89" s="92" t="s">
        <v>466</v>
      </c>
      <c r="C89" s="93">
        <f>VLOOKUP($A$67,'Rúbricas BP Dimensão aplicável'!$B$2:$AA$157,2,FALSE)/100</f>
        <v>0</v>
      </c>
      <c r="D89" s="93">
        <f>VLOOKUP($A$67,'Rúbricas BP Dimensão aplicável'!$B$2:$AA$157,7,FALSE)/100</f>
        <v>0.90989999999999993</v>
      </c>
      <c r="E89" s="93">
        <f>VLOOKUP($A$67,'Rúbricas BP Dimensão aplicável'!$B$2:$AA$157,12,FALSE)/100</f>
        <v>1.0212000000000001</v>
      </c>
      <c r="F89" s="93">
        <f>VLOOKUP($A$67,'Rúbricas BP Dimensão aplicável'!$B$2:$AA$157,17,FALSE)/100</f>
        <v>1.2092000000000001</v>
      </c>
      <c r="G89" s="93">
        <f>VLOOKUP($A$67,'Rúbricas BP Dimensão aplicável'!$B$2:$AA$157,22,FALSE)/100</f>
        <v>1.1951000000000001</v>
      </c>
    </row>
    <row r="90" spans="1:7" x14ac:dyDescent="0.3">
      <c r="A90" s="120"/>
      <c r="B90" s="92" t="s">
        <v>467</v>
      </c>
      <c r="C90" s="93">
        <f>VLOOKUP($A$67,'Rúbricas BP Dimensão aplicável'!$B$2:$AA$157,3,FALSE)/100</f>
        <v>0</v>
      </c>
      <c r="D90" s="93">
        <f>VLOOKUP($A$67,'Rúbricas BP Dimensão aplicável'!$B$2:$AA$157,8,FALSE)/100</f>
        <v>1.8080000000000001</v>
      </c>
      <c r="E90" s="93">
        <f>VLOOKUP($A$67,'Rúbricas BP Dimensão aplicável'!$B$2:$AA$157,13,FALSE)/100</f>
        <v>2.2261000000000002</v>
      </c>
      <c r="F90" s="93">
        <f>VLOOKUP($A$67,'Rúbricas BP Dimensão aplicável'!$B$2:$AA$157,18,FALSE)/100</f>
        <v>2.6942000000000004</v>
      </c>
      <c r="G90" s="93">
        <f>VLOOKUP($A$67,'Rúbricas BP Dimensão aplicável'!$B$2:$AA$157,23,FALSE)/100</f>
        <v>2.6455000000000002</v>
      </c>
    </row>
    <row r="91" spans="1:7" x14ac:dyDescent="0.3">
      <c r="A91" s="121"/>
      <c r="B91" s="92" t="s">
        <v>468</v>
      </c>
      <c r="C91" s="93">
        <f>VLOOKUP($A$67,'Rúbricas BP Dimensão aplicável'!$B$2:$AA$157,4,FALSE)/100</f>
        <v>0</v>
      </c>
      <c r="D91" s="93">
        <f>VLOOKUP($A$67,'Rúbricas BP Dimensão aplicável'!$B$2:$AA$157,9,FALSE)/100</f>
        <v>5.5678000000000001</v>
      </c>
      <c r="E91" s="93">
        <f>VLOOKUP($A$67,'Rúbricas BP Dimensão aplicável'!$B$2:$AA$157,14,FALSE)/100</f>
        <v>5.0030000000000001</v>
      </c>
      <c r="F91" s="93">
        <f>VLOOKUP($A$67,'Rúbricas BP Dimensão aplicável'!$B$2:$AA$157,19,FALSE)/100</f>
        <v>5.0457000000000001</v>
      </c>
      <c r="G91" s="93">
        <f>VLOOKUP($A$67,'Rúbricas BP Dimensão aplicável'!$B$2:$AA$157,24,FALSE)/100</f>
        <v>5.4767999999999999</v>
      </c>
    </row>
    <row r="92" spans="1:7" x14ac:dyDescent="0.3">
      <c r="A92" s="122" t="s">
        <v>121</v>
      </c>
      <c r="B92" t="s">
        <v>466</v>
      </c>
      <c r="C92" s="94">
        <f>VLOOKUP($A$70,'Rúbricas BP Dimensão aplicável'!$B$2:$AA$157,2,FALSE)/100</f>
        <v>0</v>
      </c>
      <c r="D92" s="94">
        <f>VLOOKUP($A$70,'Rúbricas BP Dimensão aplicável'!$B$2:$AA$157,7,FALSE)/100</f>
        <v>0.52859999999999996</v>
      </c>
      <c r="E92" s="94">
        <f>VLOOKUP($A$70,'Rúbricas BP Dimensão aplicável'!$B$2:$AA$157,12,FALSE)/100</f>
        <v>0.5897</v>
      </c>
      <c r="F92" s="94">
        <f>VLOOKUP($A$70,'Rúbricas BP Dimensão aplicável'!$B$2:$AA$157,17,FALSE)/100</f>
        <v>0.63749999999999996</v>
      </c>
      <c r="G92" s="94">
        <f>VLOOKUP($A$70,'Rúbricas BP Dimensão aplicável'!$B$2:$AA$157,22,FALSE)/100</f>
        <v>0.69640000000000002</v>
      </c>
    </row>
    <row r="93" spans="1:7" x14ac:dyDescent="0.3">
      <c r="A93" s="123"/>
      <c r="B93" t="s">
        <v>467</v>
      </c>
      <c r="C93" s="94">
        <f>VLOOKUP($A$70,'Rúbricas BP Dimensão aplicável'!$B$2:$AA$157,3,FALSE)/100</f>
        <v>0</v>
      </c>
      <c r="D93" s="94">
        <f>VLOOKUP($A$70,'Rúbricas BP Dimensão aplicável'!$B$2:$AA$157,8,FALSE)/100</f>
        <v>1.3855000000000002</v>
      </c>
      <c r="E93" s="94">
        <f>VLOOKUP($A$70,'Rúbricas BP Dimensão aplicável'!$B$2:$AA$157,13,FALSE)/100</f>
        <v>1.5593000000000001</v>
      </c>
      <c r="F93" s="94">
        <f>VLOOKUP($A$70,'Rúbricas BP Dimensão aplicável'!$B$2:$AA$157,18,FALSE)/100</f>
        <v>1.9521000000000002</v>
      </c>
      <c r="G93" s="94">
        <f>VLOOKUP($A$70,'Rúbricas BP Dimensão aplicável'!$B$2:$AA$157,23,FALSE)/100</f>
        <v>2.0513999999999997</v>
      </c>
    </row>
    <row r="94" spans="1:7" x14ac:dyDescent="0.3">
      <c r="A94" s="124"/>
      <c r="B94" t="s">
        <v>468</v>
      </c>
      <c r="C94" s="94">
        <f>VLOOKUP($A$70,'Rúbricas BP Dimensão aplicável'!$B$2:$AA$157,4,FALSE)/100</f>
        <v>0</v>
      </c>
      <c r="D94" s="94">
        <f>VLOOKUP($A$70,'Rúbricas BP Dimensão aplicável'!$B$2:$AA$157,9,FALSE)/100</f>
        <v>4.7117000000000004</v>
      </c>
      <c r="E94" s="94">
        <f>VLOOKUP($A$70,'Rúbricas BP Dimensão aplicável'!$B$2:$AA$157,14,FALSE)/100</f>
        <v>4.0849000000000002</v>
      </c>
      <c r="F94" s="94">
        <f>VLOOKUP($A$70,'Rúbricas BP Dimensão aplicável'!$B$2:$AA$157,19,FALSE)/100</f>
        <v>4.4817</v>
      </c>
      <c r="G94" s="94">
        <f>VLOOKUP($A$70,'Rúbricas BP Dimensão aplicável'!$B$2:$AA$157,24,FALSE)/100</f>
        <v>4.9161000000000001</v>
      </c>
    </row>
    <row r="95" spans="1:7" x14ac:dyDescent="0.3">
      <c r="A95" s="119" t="s">
        <v>94</v>
      </c>
      <c r="B95" s="92" t="s">
        <v>466</v>
      </c>
      <c r="C95" s="93">
        <f>VLOOKUP($A$73,'Rúbricas BP Dimensão aplicável'!$B$2:$AA$157,2,FALSE)/100</f>
        <v>0</v>
      </c>
      <c r="D95" s="93">
        <f>VLOOKUP($A$73,'Rúbricas BP Dimensão aplicável'!$B$2:$AA$157,7,FALSE)/100</f>
        <v>0.1249</v>
      </c>
      <c r="E95" s="93">
        <f>VLOOKUP($A$73,'Rúbricas BP Dimensão aplicável'!$B$2:$AA$157,12,FALSE)/100</f>
        <v>0.11990000000000001</v>
      </c>
      <c r="F95" s="93">
        <f>VLOOKUP($A$73,'Rúbricas BP Dimensão aplicável'!$B$2:$AA$157,17,FALSE)/100</f>
        <v>0.1333</v>
      </c>
      <c r="G95" s="93">
        <f>VLOOKUP($A$73,'Rúbricas BP Dimensão aplicável'!$B$2:$AA$157,22,FALSE)/100</f>
        <v>0.1346</v>
      </c>
    </row>
    <row r="96" spans="1:7" x14ac:dyDescent="0.3">
      <c r="A96" s="120"/>
      <c r="B96" s="92" t="s">
        <v>467</v>
      </c>
      <c r="C96" s="93">
        <f>VLOOKUP($A$73,'Rúbricas BP Dimensão aplicável'!$B$2:$AA$157,3,FALSE)/100</f>
        <v>0</v>
      </c>
      <c r="D96" s="93">
        <f>VLOOKUP($A$73,'Rúbricas BP Dimensão aplicável'!$B$2:$AA$157,8,FALSE)/100</f>
        <v>0.41560000000000002</v>
      </c>
      <c r="E96" s="93">
        <f>VLOOKUP($A$73,'Rúbricas BP Dimensão aplicável'!$B$2:$AA$157,13,FALSE)/100</f>
        <v>0.4299</v>
      </c>
      <c r="F96" s="93">
        <f>VLOOKUP($A$73,'Rúbricas BP Dimensão aplicável'!$B$2:$AA$157,18,FALSE)/100</f>
        <v>0.496</v>
      </c>
      <c r="G96" s="93">
        <f>VLOOKUP($A$73,'Rúbricas BP Dimensão aplicável'!$B$2:$AA$157,23,FALSE)/100</f>
        <v>0.48619999999999997</v>
      </c>
    </row>
    <row r="97" spans="1:7" x14ac:dyDescent="0.3">
      <c r="A97" s="121"/>
      <c r="B97" s="92" t="s">
        <v>468</v>
      </c>
      <c r="C97" s="93">
        <f>VLOOKUP($A$73,'Rúbricas BP Dimensão aplicável'!$B$2:$AA$157,4,FALSE)/100</f>
        <v>0</v>
      </c>
      <c r="D97" s="93">
        <f>VLOOKUP($A$73,'Rúbricas BP Dimensão aplicável'!$B$2:$AA$157,9,FALSE)/100</f>
        <v>0.7913</v>
      </c>
      <c r="E97" s="93">
        <f>VLOOKUP($A$73,'Rúbricas BP Dimensão aplicável'!$B$2:$AA$157,14,FALSE)/100</f>
        <v>0.74019999999999997</v>
      </c>
      <c r="F97" s="93">
        <f>VLOOKUP($A$73,'Rúbricas BP Dimensão aplicável'!$B$2:$AA$157,19,FALSE)/100</f>
        <v>0.86040000000000005</v>
      </c>
      <c r="G97" s="93">
        <f>VLOOKUP($A$73,'Rúbricas BP Dimensão aplicável'!$B$2:$AA$157,24,FALSE)/100</f>
        <v>0.81709999999999994</v>
      </c>
    </row>
    <row r="98" spans="1:7" x14ac:dyDescent="0.3">
      <c r="A98" s="122" t="s">
        <v>131</v>
      </c>
      <c r="B98" t="s">
        <v>466</v>
      </c>
      <c r="C98" s="94">
        <f>VLOOKUP($A$76,'Rúbricas BP Dimensão aplicável'!$B$2:$AA$157,2,FALSE)/100</f>
        <v>0</v>
      </c>
      <c r="D98" s="94">
        <f>VLOOKUP($A$76,'Rúbricas BP Dimensão aplicável'!$B$2:$AA$157,7,FALSE)/100</f>
        <v>0</v>
      </c>
      <c r="E98" s="94">
        <f>VLOOKUP($A$76,'Rúbricas BP Dimensão aplicável'!$B$2:$AA$157,12,FALSE)/100</f>
        <v>0</v>
      </c>
      <c r="F98" s="94">
        <f>VLOOKUP($A$76,'Rúbricas BP Dimensão aplicável'!$B$2:$AA$157,17,FALSE)/100</f>
        <v>0</v>
      </c>
      <c r="G98" s="94">
        <f>VLOOKUP($A$76,'Rúbricas BP Dimensão aplicável'!$B$2:$AA$157,22,FALSE)/100</f>
        <v>0</v>
      </c>
    </row>
    <row r="99" spans="1:7" x14ac:dyDescent="0.3">
      <c r="A99" s="123"/>
      <c r="B99" t="s">
        <v>467</v>
      </c>
      <c r="C99" s="94">
        <f>VLOOKUP($A$76,'Rúbricas BP Dimensão aplicável'!$B$2:$AA$157,3,FALSE)/100</f>
        <v>0</v>
      </c>
      <c r="D99" s="94">
        <f>VLOOKUP($A$76,'Rúbricas BP Dimensão aplicável'!$B$2:$AA$157,8,FALSE)/100</f>
        <v>0.29370000000000002</v>
      </c>
      <c r="E99" s="94">
        <f>VLOOKUP($A$76,'Rúbricas BP Dimensão aplicável'!$B$2:$AA$157,13,FALSE)/100</f>
        <v>0.26030000000000003</v>
      </c>
      <c r="F99" s="94">
        <f>VLOOKUP($A$76,'Rúbricas BP Dimensão aplicável'!$B$2:$AA$157,18,FALSE)/100</f>
        <v>0.1128</v>
      </c>
      <c r="G99" s="94">
        <f>VLOOKUP($A$76,'Rúbricas BP Dimensão aplicável'!$B$2:$AA$157,23,FALSE)/100</f>
        <v>7.3700000000000002E-2</v>
      </c>
    </row>
    <row r="100" spans="1:7" x14ac:dyDescent="0.3">
      <c r="A100" s="124"/>
      <c r="B100" t="s">
        <v>468</v>
      </c>
      <c r="C100" s="94">
        <f>VLOOKUP($A$76,'Rúbricas BP Dimensão aplicável'!$B$2:$AA$157,4,FALSE)/100</f>
        <v>0</v>
      </c>
      <c r="D100" s="94">
        <f>VLOOKUP($A$76,'Rúbricas BP Dimensão aplicável'!$B$2:$AA$157,9,FALSE)/100</f>
        <v>0.64129999999999998</v>
      </c>
      <c r="E100" s="94">
        <f>VLOOKUP($A$76,'Rúbricas BP Dimensão aplicável'!$B$2:$AA$157,14,FALSE)/100</f>
        <v>0.70660000000000001</v>
      </c>
      <c r="F100" s="94">
        <f>VLOOKUP($A$76,'Rúbricas BP Dimensão aplicável'!$B$2:$AA$157,19,FALSE)/100</f>
        <v>0.61980000000000002</v>
      </c>
      <c r="G100" s="94">
        <f>VLOOKUP($A$76,'Rúbricas BP Dimensão aplicável'!$B$2:$AA$157,24,FALSE)/100</f>
        <v>0.57729999999999992</v>
      </c>
    </row>
    <row r="101" spans="1:7" x14ac:dyDescent="0.3">
      <c r="A101" s="119" t="s">
        <v>469</v>
      </c>
      <c r="B101" s="92" t="s">
        <v>466</v>
      </c>
      <c r="C101" s="93">
        <f>VLOOKUP($A$79,'Rúbricas BP Dimensão aplicável'!$B$2:$AA$157,2,FALSE)/100</f>
        <v>0</v>
      </c>
      <c r="D101" s="93">
        <f>VLOOKUP($A$79,'Rúbricas BP Dimensão aplicável'!$B$2:$AA$157,7,FALSE)/100</f>
        <v>1.29E-2</v>
      </c>
      <c r="E101" s="93">
        <f>VLOOKUP($A$79,'Rúbricas BP Dimensão aplicável'!$B$2:$AA$157,12,FALSE)/100</f>
        <v>-3.0000000000000001E-3</v>
      </c>
      <c r="F101" s="93">
        <f>VLOOKUP($A$79,'Rúbricas BP Dimensão aplicável'!$B$2:$AA$157,17,FALSE)/100</f>
        <v>1.44E-2</v>
      </c>
      <c r="G101" s="93">
        <f>VLOOKUP($A$79,'Rúbricas BP Dimensão aplicável'!$B$2:$AA$157,22,FALSE)/100</f>
        <v>2.41E-2</v>
      </c>
    </row>
    <row r="102" spans="1:7" x14ac:dyDescent="0.3">
      <c r="A102" s="120"/>
      <c r="B102" s="92" t="s">
        <v>467</v>
      </c>
      <c r="C102" s="93">
        <f>VLOOKUP($A$79,'Rúbricas BP Dimensão aplicável'!$B$2:$AA$157,3,FALSE)/100</f>
        <v>0</v>
      </c>
      <c r="D102" s="93">
        <f>VLOOKUP($A$79,'Rúbricas BP Dimensão aplicável'!$B$2:$AA$157,8,FALSE)/100</f>
        <v>5.5300000000000002E-2</v>
      </c>
      <c r="E102" s="93">
        <f>VLOOKUP($A$79,'Rúbricas BP Dimensão aplicável'!$B$2:$AA$157,13,FALSE)/100</f>
        <v>3.8399999999999997E-2</v>
      </c>
      <c r="F102" s="93">
        <f>VLOOKUP($A$79,'Rúbricas BP Dimensão aplicável'!$B$2:$AA$157,18,FALSE)/100</f>
        <v>6.9099999999999995E-2</v>
      </c>
      <c r="G102" s="93">
        <f>VLOOKUP($A$79,'Rúbricas BP Dimensão aplicável'!$B$2:$AA$157,23,FALSE)/100</f>
        <v>7.5499999999999998E-2</v>
      </c>
    </row>
    <row r="103" spans="1:7" x14ac:dyDescent="0.3">
      <c r="A103" s="120"/>
      <c r="B103" s="92" t="s">
        <v>468</v>
      </c>
      <c r="C103" s="93">
        <f>VLOOKUP($A$79,'Rúbricas BP Dimensão aplicável'!$B$2:$AA$157,4,FALSE)/100</f>
        <v>0</v>
      </c>
      <c r="D103" s="93">
        <f>VLOOKUP($A$79,'Rúbricas BP Dimensão aplicável'!$B$2:$AA$157,9,FALSE)/100</f>
        <v>0.1052</v>
      </c>
      <c r="E103" s="93">
        <f>VLOOKUP($A$79,'Rúbricas BP Dimensão aplicável'!$B$2:$AA$157,14,FALSE)/100</f>
        <v>9.64E-2</v>
      </c>
      <c r="F103" s="93">
        <f>VLOOKUP($A$79,'Rúbricas BP Dimensão aplicável'!$B$2:$AA$157,19,FALSE)/100</f>
        <v>0.13970000000000002</v>
      </c>
      <c r="G103" s="93">
        <f>VLOOKUP($A$79,'Rúbricas BP Dimensão aplicável'!$B$2:$AA$157,24,FALSE)/100</f>
        <v>0.17519999999999999</v>
      </c>
    </row>
    <row r="104" spans="1:7" x14ac:dyDescent="0.3">
      <c r="A104" s="123" t="s">
        <v>470</v>
      </c>
      <c r="B104" t="s">
        <v>466</v>
      </c>
      <c r="C104" s="94" t="e">
        <f>VLOOKUP($A$82,'Rúbricas BP Dimensão aplicável'!$B$2:$AA$157,2,FALSE)/100</f>
        <v>#N/A</v>
      </c>
      <c r="D104" s="94" t="e">
        <f>VLOOKUP($A$82,'Rúbricas BP Dimensão aplicável'!$B$2:$AA$157,7,FALSE)/100</f>
        <v>#N/A</v>
      </c>
      <c r="E104" s="94" t="e">
        <f>VLOOKUP($A$82,'Rúbricas BP Dimensão aplicável'!$B$2:$AA$157,12,FALSE)/100</f>
        <v>#N/A</v>
      </c>
      <c r="F104" s="94" t="e">
        <f>VLOOKUP($A$82,'Rúbricas BP Dimensão aplicável'!$B$2:$AA$157,17,FALSE)/100</f>
        <v>#N/A</v>
      </c>
      <c r="G104" s="94" t="e">
        <f>VLOOKUP($A$82,'Rúbricas BP Dimensão aplicável'!$B$2:$AA$157,22,FALSE)/100</f>
        <v>#N/A</v>
      </c>
    </row>
    <row r="105" spans="1:7" x14ac:dyDescent="0.3">
      <c r="A105" s="123"/>
      <c r="B105" t="s">
        <v>467</v>
      </c>
      <c r="C105" s="94" t="e">
        <f>VLOOKUP($A$82,'Rúbricas BP Dimensão aplicável'!$B$2:$AA$157,3,FALSE)/100</f>
        <v>#N/A</v>
      </c>
      <c r="D105" s="94" t="e">
        <f>VLOOKUP($A$82,'Rúbricas BP Dimensão aplicável'!$B$2:$AA$157,8,FALSE)/100</f>
        <v>#N/A</v>
      </c>
      <c r="E105" s="94" t="e">
        <f>VLOOKUP($A$82,'Rúbricas BP Dimensão aplicável'!$B$2:$AA$157,13,FALSE)/100</f>
        <v>#N/A</v>
      </c>
      <c r="F105" s="94" t="e">
        <f>VLOOKUP($A$82,'Rúbricas BP Dimensão aplicável'!$B$2:$AA$157,18,FALSE)/100</f>
        <v>#N/A</v>
      </c>
      <c r="G105" s="94" t="e">
        <f>VLOOKUP($A$82,'Rúbricas BP Dimensão aplicável'!$B$2:$AA$157,23,FALSE)/100</f>
        <v>#N/A</v>
      </c>
    </row>
    <row r="106" spans="1:7" x14ac:dyDescent="0.3">
      <c r="A106" s="123"/>
      <c r="B106" t="s">
        <v>468</v>
      </c>
      <c r="C106" s="94" t="e">
        <f>VLOOKUP($A$82,'Rúbricas BP Dimensão aplicável'!$B$2:$AA$157,4,FALSE)/100</f>
        <v>#N/A</v>
      </c>
      <c r="D106" s="94" t="e">
        <f>VLOOKUP($A$82,'Rúbricas BP Dimensão aplicável'!$B$2:$AA$157,9,FALSE)/100</f>
        <v>#N/A</v>
      </c>
      <c r="E106" s="94" t="e">
        <f>VLOOKUP($A$82,'Rúbricas BP Dimensão aplicável'!$B$2:$AA$157,14,FALSE)/100</f>
        <v>#N/A</v>
      </c>
      <c r="F106" s="94" t="e">
        <f>VLOOKUP($A$82,'Rúbricas BP Dimensão aplicável'!$B$2:$AA$157,19,FALSE)/100</f>
        <v>#N/A</v>
      </c>
      <c r="G106" s="94" t="e">
        <f>VLOOKUP($A$82,'Rúbricas BP Dimensão aplicável'!$B$2:$AA$157,24,FALSE)/100</f>
        <v>#N/A</v>
      </c>
    </row>
  </sheetData>
  <mergeCells count="17">
    <mergeCell ref="A104:A106"/>
    <mergeCell ref="A87:G87"/>
    <mergeCell ref="A89:A91"/>
    <mergeCell ref="A92:A94"/>
    <mergeCell ref="A95:A97"/>
    <mergeCell ref="A98:A100"/>
    <mergeCell ref="A101:A103"/>
    <mergeCell ref="A73:A75"/>
    <mergeCell ref="A76:A78"/>
    <mergeCell ref="A79:A81"/>
    <mergeCell ref="A82:A84"/>
    <mergeCell ref="A1:K1"/>
    <mergeCell ref="B2:G2"/>
    <mergeCell ref="A65:G65"/>
    <mergeCell ref="A67:A69"/>
    <mergeCell ref="A70:A72"/>
    <mergeCell ref="B32:G3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otão1_Click">
                <anchor moveWithCells="1">
                  <from>
                    <xdr:col>5</xdr:col>
                    <xdr:colOff>1242060</xdr:colOff>
                    <xdr:row>58</xdr:row>
                    <xdr:rowOff>60960</xdr:rowOff>
                  </from>
                  <to>
                    <xdr:col>6</xdr:col>
                    <xdr:colOff>1569720</xdr:colOff>
                    <xdr:row>63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8AC41-6A15-48C6-948E-C1B6DA5FACD7}">
  <sheetPr codeName="Folha4"/>
  <dimension ref="A2:Z157"/>
  <sheetViews>
    <sheetView zoomScaleNormal="100" workbookViewId="0">
      <selection activeCell="B14" sqref="B14:B16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4" max="4" width="15.5546875" customWidth="1"/>
    <col min="5" max="6" width="10.109375" bestFit="1" customWidth="1"/>
    <col min="7" max="7" width="10.6640625" customWidth="1"/>
    <col min="8" max="8" width="12.33203125" bestFit="1" customWidth="1"/>
    <col min="10" max="10" width="24.44140625" customWidth="1"/>
    <col min="11" max="11" width="43.44140625" bestFit="1" customWidth="1"/>
    <col min="12" max="12" width="53.6640625" customWidth="1"/>
    <col min="13" max="13" width="18" customWidth="1"/>
    <col min="14" max="14" width="19.6640625" customWidth="1"/>
    <col min="15" max="15" width="22.33203125" customWidth="1"/>
    <col min="16" max="16" width="14.6640625" customWidth="1"/>
    <col min="17" max="17" width="27.33203125" customWidth="1"/>
  </cols>
  <sheetData>
    <row r="2" spans="1:26" x14ac:dyDescent="0.3">
      <c r="A2" s="116"/>
      <c r="B2" s="116"/>
      <c r="C2" s="116"/>
      <c r="D2" s="116"/>
      <c r="E2" s="116"/>
      <c r="F2" s="116"/>
      <c r="G2" s="116"/>
      <c r="H2" s="116"/>
      <c r="J2" s="22"/>
    </row>
    <row r="3" spans="1:26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26" x14ac:dyDescent="0.3">
      <c r="A4" s="129" t="s">
        <v>102</v>
      </c>
      <c r="B4" s="129"/>
      <c r="C4" s="129"/>
      <c r="D4" s="129"/>
      <c r="E4" s="129"/>
      <c r="F4" s="129"/>
      <c r="G4" s="129"/>
      <c r="H4" s="129"/>
    </row>
    <row r="5" spans="1:26" x14ac:dyDescent="0.3">
      <c r="A5" s="126" t="s">
        <v>96</v>
      </c>
      <c r="B5" s="126" t="s">
        <v>97</v>
      </c>
      <c r="C5" s="21" t="s">
        <v>138</v>
      </c>
      <c r="D5" s="22">
        <f>+'Demonstração de Resultados'!$C$23/'Demonstração de Resultados'!$C$5</f>
        <v>8.4831708091884714E-2</v>
      </c>
      <c r="E5" s="22">
        <f>+'Demonstração de Resultados'!$D$23/'Demonstração de Resultados'!$D$5</f>
        <v>0.10916296336326162</v>
      </c>
      <c r="F5" s="22">
        <f>+'Demonstração de Resultados'!E23/'Demonstração de Resultados'!E5</f>
        <v>9.4553430696491886E-2</v>
      </c>
      <c r="G5" s="22">
        <f>+'Demonstração de Resultados'!F23/'Demonstração de Resultados'!F5</f>
        <v>5.3908954454453852E-2</v>
      </c>
      <c r="H5" s="22">
        <f>+'Demonstração de Resultados'!G23/'Demonstração de Resultados'!G5</f>
        <v>0.18201777115387138</v>
      </c>
    </row>
    <row r="6" spans="1:26" x14ac:dyDescent="0.3">
      <c r="A6" s="127"/>
      <c r="B6" s="127"/>
      <c r="C6" s="31" t="s">
        <v>139</v>
      </c>
      <c r="D6" s="30" t="e">
        <f>+'Dados do Setor'!$C$5/'Dados do Setor'!$C$4</f>
        <v>#DIV/0!</v>
      </c>
      <c r="E6" s="30">
        <f>+'Dados do Setor'!$D$5/'Dados do Setor'!$D$4</f>
        <v>7.9248075784487865E-2</v>
      </c>
      <c r="F6" s="30">
        <f>+'Dados do Setor'!E5/'Dados do Setor'!E4</f>
        <v>4.7272087293206616E-2</v>
      </c>
      <c r="G6" s="30">
        <f>+'Dados do Setor'!F5/'Dados do Setor'!F4</f>
        <v>5.5251684502576295E-2</v>
      </c>
      <c r="H6" s="30">
        <f>+'Dados do Setor'!G5/'Dados do Setor'!G4</f>
        <v>7.7359307359307364E-2</v>
      </c>
    </row>
    <row r="7" spans="1:26" x14ac:dyDescent="0.3">
      <c r="A7" s="128"/>
      <c r="B7" s="128"/>
      <c r="C7" s="32" t="s">
        <v>461</v>
      </c>
      <c r="D7" s="84" t="e">
        <f>+D5/D6*100</f>
        <v>#DIV/0!</v>
      </c>
      <c r="E7" s="84">
        <f>+E5/E6*100</f>
        <v>137.7484087564803</v>
      </c>
      <c r="F7" s="84">
        <f>+F5/F6*100</f>
        <v>200.01958049794001</v>
      </c>
      <c r="G7" s="84">
        <f>+G5/G6*100</f>
        <v>97.569793463835779</v>
      </c>
      <c r="H7" s="84">
        <f>+H5/H6*100</f>
        <v>235.28878084244144</v>
      </c>
    </row>
    <row r="8" spans="1:26" x14ac:dyDescent="0.3">
      <c r="A8" s="126" t="s">
        <v>95</v>
      </c>
      <c r="B8" s="126" t="s">
        <v>98</v>
      </c>
      <c r="C8" s="21" t="s">
        <v>138</v>
      </c>
      <c r="D8" s="22">
        <f>+('Demonstração de Resultados'!$C$5-'Demonstração de Resultados'!$C$10)/'Demonstração de Resultados'!$C$5</f>
        <v>0.42098864618320297</v>
      </c>
      <c r="E8" s="22">
        <f>+('Demonstração de Resultados'!$D$5-'Demonstração de Resultados'!$D$10)/'Demonstração de Resultados'!$D$5</f>
        <v>0.38431359941972343</v>
      </c>
      <c r="F8" s="22">
        <f>+('Demonstração de Resultados'!E5-'Demonstração de Resultados'!E10)/'Demonstração de Resultados'!E5</f>
        <v>0.42194310318420136</v>
      </c>
      <c r="G8" s="22">
        <f>+('Demonstração de Resultados'!F5-'Demonstração de Resultados'!F10)/'Demonstração de Resultados'!F5</f>
        <v>0.40476953407076688</v>
      </c>
      <c r="H8" s="22">
        <f>+('Demonstração de Resultados'!G5-'Demonstração de Resultados'!G10)/'Demonstração de Resultados'!G5</f>
        <v>0.44951075206217089</v>
      </c>
    </row>
    <row r="9" spans="1:26" x14ac:dyDescent="0.3">
      <c r="A9" s="127"/>
      <c r="B9" s="127"/>
      <c r="C9" s="31" t="s">
        <v>139</v>
      </c>
      <c r="D9" s="30" t="e">
        <f>+('Dados do Setor'!$C$4-'Dados do Setor'!$C$6)/'Dados do Setor'!$C$4</f>
        <v>#DIV/0!</v>
      </c>
      <c r="E9" s="30">
        <f>+('Dados do Setor'!$D$4-'Dados do Setor'!$D$6)/'Dados do Setor'!$D$4</f>
        <v>0.20100651272942568</v>
      </c>
      <c r="F9" s="30">
        <f>+('Dados do Setor'!E4-'Dados do Setor'!E6)/'Dados do Setor'!E4</f>
        <v>0.19148187258007743</v>
      </c>
      <c r="G9" s="30">
        <f>+('Dados do Setor'!F4-'Dados do Setor'!F6)/'Dados do Setor'!F4</f>
        <v>0.26397146254458975</v>
      </c>
      <c r="H9" s="30">
        <f>+('Dados do Setor'!G4-'Dados do Setor'!G6)/'Dados do Setor'!G4</f>
        <v>0.20346320346320346</v>
      </c>
    </row>
    <row r="10" spans="1:26" x14ac:dyDescent="0.3">
      <c r="A10" s="128"/>
      <c r="B10" s="128"/>
      <c r="C10" s="32" t="s">
        <v>461</v>
      </c>
      <c r="D10" s="84" t="e">
        <f>+D8/D9*100</f>
        <v>#DIV/0!</v>
      </c>
      <c r="E10" s="84">
        <f>+E8/E9*100</f>
        <v>191.19460071278732</v>
      </c>
      <c r="F10" s="84">
        <f>+F8/F9*100</f>
        <v>220.35668311513166</v>
      </c>
      <c r="G10" s="84">
        <f>+G8/G9*100</f>
        <v>153.33836853761935</v>
      </c>
      <c r="H10" s="84">
        <f>+H8/H9*100</f>
        <v>220.92975260927977</v>
      </c>
    </row>
    <row r="11" spans="1:26" x14ac:dyDescent="0.3">
      <c r="A11" s="126" t="s">
        <v>99</v>
      </c>
      <c r="B11" s="126" t="s">
        <v>100</v>
      </c>
      <c r="C11" s="21" t="s">
        <v>138</v>
      </c>
      <c r="D11" s="22">
        <f>+'Demonstração de Resultados'!$C$31/'Demonstração de Resultados'!$C$5</f>
        <v>4.4651377108608711E-2</v>
      </c>
      <c r="E11" s="22">
        <f>+'Demonstração de Resultados'!$D$31/'Demonstração de Resultados'!$D$5</f>
        <v>7.0914748862189417E-2</v>
      </c>
      <c r="F11" s="22">
        <f>+'Demonstração de Resultados'!E31/'Demonstração de Resultados'!E5</f>
        <v>6.8964427259887051E-2</v>
      </c>
      <c r="G11" s="22">
        <f>+'Demonstração de Resultados'!F31/'Demonstração de Resultados'!F5</f>
        <v>2.0072413721197713E-2</v>
      </c>
      <c r="H11" s="22">
        <f>+'Demonstração de Resultados'!G31/'Demonstração de Resultados'!G5</f>
        <v>9.9366762966935196E-2</v>
      </c>
      <c r="V11" s="90"/>
      <c r="W11" s="90"/>
      <c r="X11" s="90"/>
      <c r="Y11" s="90"/>
      <c r="Z11" s="90"/>
    </row>
    <row r="12" spans="1:26" x14ac:dyDescent="0.3">
      <c r="A12" s="127"/>
      <c r="B12" s="127"/>
      <c r="C12" s="31" t="s">
        <v>139</v>
      </c>
      <c r="D12" s="30" t="e">
        <f>+'Dados do Setor'!$C$9/'Dados do Setor'!$C$4</f>
        <v>#DIV/0!</v>
      </c>
      <c r="E12" s="30">
        <f>+'Dados do Setor'!$D$9/'Dados do Setor'!$D$4</f>
        <v>4.1799881586737718E-2</v>
      </c>
      <c r="F12" s="30">
        <f>+'Dados do Setor'!E9/'Dados do Setor'!E4</f>
        <v>7.743752199929602E-3</v>
      </c>
      <c r="G12" s="30">
        <f>+'Dados do Setor'!F9/'Dados do Setor'!F4</f>
        <v>1.0265556876734047E-2</v>
      </c>
      <c r="H12" s="30">
        <f>+'Dados do Setor'!G9/'Dados do Setor'!G4</f>
        <v>4.4155844155844157E-2</v>
      </c>
      <c r="V12" s="90"/>
      <c r="W12" s="90"/>
      <c r="X12" s="90"/>
      <c r="Y12" s="90"/>
      <c r="Z12" s="90"/>
    </row>
    <row r="13" spans="1:26" x14ac:dyDescent="0.3">
      <c r="A13" s="128"/>
      <c r="B13" s="128"/>
      <c r="C13" s="32" t="s">
        <v>461</v>
      </c>
      <c r="D13" s="84" t="e">
        <f>+D11/D12*100</f>
        <v>#DIV/0!</v>
      </c>
      <c r="E13" s="84">
        <f>+E11/E12*100</f>
        <v>169.65298984169678</v>
      </c>
      <c r="F13" s="84">
        <f>+F11/F12*100</f>
        <v>890.58153566063231</v>
      </c>
      <c r="G13" s="84">
        <f>+G11/G12*100</f>
        <v>195.53165953120399</v>
      </c>
      <c r="H13" s="84">
        <f>+H11/H12*100</f>
        <v>225.03649260158852</v>
      </c>
      <c r="V13" s="103"/>
      <c r="W13" s="103"/>
      <c r="X13" s="103"/>
      <c r="Y13" s="103"/>
      <c r="Z13" s="103"/>
    </row>
    <row r="14" spans="1:26" x14ac:dyDescent="0.3">
      <c r="A14" s="126" t="s">
        <v>90</v>
      </c>
      <c r="B14" s="126" t="s">
        <v>93</v>
      </c>
      <c r="C14" s="21" t="s">
        <v>138</v>
      </c>
      <c r="D14" s="22">
        <f>+'Demonstração de Resultados'!$C$36/'Demonstração de Resultados'!$C$35</f>
        <v>0.33498891945565801</v>
      </c>
      <c r="E14" s="22">
        <f>+'Demonstração de Resultados'!$D$36/'Demonstração de Resultados'!$D$35</f>
        <v>0.3112095886348043</v>
      </c>
      <c r="F14" s="22">
        <f>+'Demonstração de Resultados'!E36/'Demonstração de Resultados'!E35</f>
        <v>0.32109557003397066</v>
      </c>
      <c r="G14" s="22">
        <f>+'Demonstração de Resultados'!F36/'Demonstração de Resultados'!F35</f>
        <v>0.28613804815694566</v>
      </c>
      <c r="H14" s="22">
        <f>+'Demonstração de Resultados'!G36/'Demonstração de Resultados'!G35</f>
        <v>0.37059793923453527</v>
      </c>
      <c r="V14" s="90"/>
      <c r="W14" s="90"/>
      <c r="X14" s="90"/>
      <c r="Y14" s="90"/>
      <c r="Z14" s="90"/>
    </row>
    <row r="15" spans="1:26" x14ac:dyDescent="0.3">
      <c r="A15" s="127"/>
      <c r="B15" s="127"/>
      <c r="C15" s="31" t="s">
        <v>139</v>
      </c>
      <c r="D15" s="37" t="e">
        <f>+'Dados do Setor'!$C$21</f>
        <v>#VALUE!</v>
      </c>
      <c r="E15" s="37" t="e">
        <f>+'Dados do Setor'!$D$21</f>
        <v>#VALUE!</v>
      </c>
      <c r="F15" s="37" t="e">
        <f>+'Dados do Setor'!E21</f>
        <v>#VALUE!</v>
      </c>
      <c r="G15" s="37" t="e">
        <f>+'Dados do Setor'!F21</f>
        <v>#VALUE!</v>
      </c>
      <c r="H15" s="37" t="e">
        <f>+'Dados do Setor'!G21</f>
        <v>#VALUE!</v>
      </c>
      <c r="V15" s="90"/>
      <c r="W15" s="90"/>
      <c r="X15" s="90"/>
      <c r="Y15" s="90"/>
      <c r="Z15" s="90"/>
    </row>
    <row r="16" spans="1:26" x14ac:dyDescent="0.3">
      <c r="A16" s="128"/>
      <c r="B16" s="128"/>
      <c r="C16" s="32" t="s">
        <v>461</v>
      </c>
      <c r="D16" s="84" t="e">
        <f>+D14/D15*100</f>
        <v>#VALUE!</v>
      </c>
      <c r="E16" s="84" t="e">
        <f>+E14/E15*100</f>
        <v>#VALUE!</v>
      </c>
      <c r="F16" s="84" t="e">
        <f>+F14/F15*100</f>
        <v>#VALUE!</v>
      </c>
      <c r="G16" s="84" t="e">
        <f>+G14/G15*100</f>
        <v>#VALUE!</v>
      </c>
      <c r="H16" s="84" t="e">
        <f>+H14/H15*100</f>
        <v>#VALUE!</v>
      </c>
      <c r="V16" s="103"/>
      <c r="W16" s="103"/>
      <c r="X16" s="103"/>
      <c r="Y16" s="103"/>
      <c r="Z16" s="103"/>
    </row>
    <row r="17" spans="1:26" x14ac:dyDescent="0.3">
      <c r="A17" s="126" t="s">
        <v>103</v>
      </c>
      <c r="B17" s="126" t="s">
        <v>104</v>
      </c>
      <c r="C17" s="21" t="s">
        <v>138</v>
      </c>
      <c r="D17" s="22">
        <f>+'Demonstração de Resultados'!$C$31/Balanço!$C$31</f>
        <v>4.694698603858901E-2</v>
      </c>
      <c r="E17" s="22">
        <f>+'Demonstração de Resultados'!$D$31/Balanço!$D$31</f>
        <v>6.6916432358693365E-2</v>
      </c>
      <c r="F17" s="22">
        <f>+'Demonstração de Resultados'!E31/Balanço!E31</f>
        <v>6.7738547517142464E-2</v>
      </c>
      <c r="G17" s="22">
        <f>+'Demonstração de Resultados'!F31/Balanço!F31</f>
        <v>1.3018180321032963E-2</v>
      </c>
      <c r="H17" s="22">
        <f>+'Demonstração de Resultados'!G31/Balanço!G31</f>
        <v>8.561181386526856E-2</v>
      </c>
      <c r="V17" s="90"/>
      <c r="W17" s="90"/>
      <c r="X17" s="90"/>
      <c r="Y17" s="90"/>
      <c r="Z17" s="90"/>
    </row>
    <row r="18" spans="1:26" x14ac:dyDescent="0.3">
      <c r="A18" s="127"/>
      <c r="B18" s="127"/>
      <c r="C18" s="31" t="s">
        <v>139</v>
      </c>
      <c r="D18" s="30" t="e">
        <f>+'Dados do Setor'!$C$9/'Dados do Setor'!$C$10</f>
        <v>#DIV/0!</v>
      </c>
      <c r="E18" s="30">
        <f>+'Dados do Setor'!$D$9/'Dados do Setor'!$D$10</f>
        <v>5.3182674199623352E-2</v>
      </c>
      <c r="F18" s="30">
        <f>+'Dados do Setor'!E9/'Dados do Setor'!E10</f>
        <v>8.1814801041279282E-3</v>
      </c>
      <c r="G18" s="30">
        <f>+'Dados do Setor'!F9/'Dados do Setor'!F10</f>
        <v>9.6210995542347702E-3</v>
      </c>
      <c r="H18" s="30">
        <f>+'Dados do Setor'!G9/'Dados do Setor'!G10</f>
        <v>7.1578947368421048E-2</v>
      </c>
      <c r="V18" s="90"/>
      <c r="W18" s="90"/>
      <c r="X18" s="90"/>
      <c r="Y18" s="90"/>
      <c r="Z18" s="90"/>
    </row>
    <row r="19" spans="1:26" x14ac:dyDescent="0.3">
      <c r="A19" s="128"/>
      <c r="B19" s="128"/>
      <c r="C19" s="32" t="s">
        <v>461</v>
      </c>
      <c r="D19" s="84" t="e">
        <f>+D17/D18*100</f>
        <v>#DIV/0!</v>
      </c>
      <c r="E19" s="84">
        <f>+E17/E18*100</f>
        <v>125.82374498040431</v>
      </c>
      <c r="F19" s="84">
        <f>+F17/F18*100</f>
        <v>827.94979215270951</v>
      </c>
      <c r="G19" s="84">
        <f>+G17/G18*100</f>
        <v>135.30865414757039</v>
      </c>
      <c r="H19" s="84">
        <f>+H17/H18*100</f>
        <v>119.60473995883108</v>
      </c>
      <c r="V19" s="103"/>
      <c r="W19" s="103"/>
      <c r="X19" s="103"/>
      <c r="Y19" s="103"/>
      <c r="Z19" s="103"/>
    </row>
    <row r="20" spans="1:26" x14ac:dyDescent="0.3">
      <c r="A20" s="129" t="s">
        <v>161</v>
      </c>
      <c r="B20" s="129"/>
      <c r="C20" s="129"/>
      <c r="D20" s="129"/>
      <c r="E20" s="129"/>
      <c r="F20" s="129"/>
      <c r="G20" s="129"/>
      <c r="H20" s="129"/>
      <c r="V20" s="90"/>
      <c r="W20" s="90"/>
      <c r="X20" s="90"/>
      <c r="Y20" s="90"/>
      <c r="Z20" s="90"/>
    </row>
    <row r="21" spans="1:26" x14ac:dyDescent="0.3">
      <c r="A21" s="126" t="s">
        <v>101</v>
      </c>
      <c r="B21" s="126" t="s">
        <v>106</v>
      </c>
      <c r="C21" s="21" t="s">
        <v>138</v>
      </c>
      <c r="D21" s="22">
        <f>+'Demonstração de Resultados'!$C$5/Balanço!$C$31</f>
        <v>1.0514118282264067</v>
      </c>
      <c r="E21" s="22">
        <f>+'Demonstração de Resultados'!$D$5/Balanço!$D$31</f>
        <v>0.94361798402098129</v>
      </c>
      <c r="F21" s="22">
        <f>+'Demonstração de Resultados'!E5/Balanço!E31</f>
        <v>0.98222446279260833</v>
      </c>
      <c r="G21" s="22">
        <f>+'Demonstração de Resultados'!F5/Balanço!F31</f>
        <v>0.64856078107262993</v>
      </c>
      <c r="H21" s="22">
        <f>+'Demonstração de Resultados'!G5/Balanço!G31</f>
        <v>0.86157394393290576</v>
      </c>
      <c r="V21" s="104"/>
      <c r="W21" s="104"/>
      <c r="X21" s="104"/>
      <c r="Y21" s="104"/>
      <c r="Z21" s="104"/>
    </row>
    <row r="22" spans="1:26" x14ac:dyDescent="0.3">
      <c r="A22" s="127"/>
      <c r="B22" s="127"/>
      <c r="C22" s="31" t="s">
        <v>139</v>
      </c>
      <c r="D22" s="30" t="e">
        <f>+'Dados do Setor'!$C$4/'Dados do Setor'!$C$10</f>
        <v>#DIV/0!</v>
      </c>
      <c r="E22" s="30">
        <f>+'Dados do Setor'!$D$4/'Dados do Setor'!$D$10</f>
        <v>1.272316384180791</v>
      </c>
      <c r="F22" s="30">
        <f>+'Dados do Setor'!E4/'Dados do Setor'!E10</f>
        <v>1.0565265898103384</v>
      </c>
      <c r="G22" s="30">
        <f>+'Dados do Setor'!F4/'Dados do Setor'!F10</f>
        <v>0.93722139673105498</v>
      </c>
      <c r="H22" s="30">
        <f>+'Dados do Setor'!G4/'Dados do Setor'!G10</f>
        <v>1.6210526315789473</v>
      </c>
      <c r="V22" s="103"/>
      <c r="W22" s="103"/>
      <c r="X22" s="103"/>
      <c r="Y22" s="103"/>
      <c r="Z22" s="103"/>
    </row>
    <row r="23" spans="1:26" x14ac:dyDescent="0.3">
      <c r="A23" s="128"/>
      <c r="B23" s="128"/>
      <c r="C23" s="32" t="s">
        <v>461</v>
      </c>
      <c r="D23" s="84" t="e">
        <f>+D21/D22*100</f>
        <v>#DIV/0!</v>
      </c>
      <c r="E23" s="84">
        <f>+E21/E22*100</f>
        <v>74.16535664818548</v>
      </c>
      <c r="F23" s="84">
        <f>+F21/F22*100</f>
        <v>92.967320677554511</v>
      </c>
      <c r="G23" s="84">
        <f>+G21/G22*100</f>
        <v>69.200381397047948</v>
      </c>
      <c r="H23" s="84">
        <f>+H21/H22*100</f>
        <v>53.149041995861069</v>
      </c>
      <c r="V23" s="90"/>
      <c r="W23" s="90"/>
      <c r="X23" s="90"/>
      <c r="Y23" s="90"/>
      <c r="Z23" s="90"/>
    </row>
    <row r="24" spans="1:26" x14ac:dyDescent="0.3">
      <c r="A24" s="126" t="s">
        <v>109</v>
      </c>
      <c r="B24" s="126" t="s">
        <v>107</v>
      </c>
      <c r="C24" s="21" t="s">
        <v>138</v>
      </c>
      <c r="D24" s="22">
        <f>+'Demonstração de Resultados'!$C$12/'Demonstração de Resultados'!$C$5</f>
        <v>0.23302754026037881</v>
      </c>
      <c r="E24" s="22">
        <f>+'Demonstração de Resultados'!D12/'Demonstração de Resultados'!D5</f>
        <v>0.23905654424290027</v>
      </c>
      <c r="F24" s="22">
        <f>+'Demonstração de Resultados'!E12/'Demonstração de Resultados'!E5</f>
        <v>0.22054066073336789</v>
      </c>
      <c r="G24" s="22">
        <f>+'Demonstração de Resultados'!F12/'Demonstração de Resultados'!F5</f>
        <v>0.2344247476391596</v>
      </c>
      <c r="H24" s="22">
        <f>+'Demonstração de Resultados'!G12/'Demonstração de Resultados'!G5</f>
        <v>0.20130980104280588</v>
      </c>
      <c r="V24" s="90"/>
      <c r="W24" s="90"/>
      <c r="X24" s="90"/>
      <c r="Y24" s="90"/>
      <c r="Z24" s="90"/>
    </row>
    <row r="25" spans="1:26" x14ac:dyDescent="0.3">
      <c r="A25" s="127"/>
      <c r="B25" s="127"/>
      <c r="C25" s="31" t="s">
        <v>139</v>
      </c>
      <c r="D25" s="30" t="e">
        <f>+'Dados do Setor'!$C$7/'Dados do Setor'!$C$4</f>
        <v>#DIV/0!</v>
      </c>
      <c r="E25" s="30">
        <f>+'Dados do Setor'!D7/'Dados do Setor'!D4</f>
        <v>5.1213735938425105E-2</v>
      </c>
      <c r="F25" s="30">
        <f>+'Dados do Setor'!E7/'Dados do Setor'!E4</f>
        <v>6.4378739880323832E-2</v>
      </c>
      <c r="G25" s="30">
        <f>+'Dados do Setor'!F7/'Dados do Setor'!F4</f>
        <v>7.043202536662703E-2</v>
      </c>
      <c r="H25" s="30">
        <f>+'Dados do Setor'!G7/'Dados do Setor'!G4</f>
        <v>4.3268398268398268E-2</v>
      </c>
      <c r="V25" s="103"/>
      <c r="W25" s="103"/>
      <c r="X25" s="103"/>
      <c r="Y25" s="103"/>
      <c r="Z25" s="103"/>
    </row>
    <row r="26" spans="1:26" x14ac:dyDescent="0.3">
      <c r="A26" s="128"/>
      <c r="B26" s="128"/>
      <c r="C26" s="32" t="s">
        <v>461</v>
      </c>
      <c r="D26" s="84" t="e">
        <f>+D24/D25*100</f>
        <v>#DIV/0!</v>
      </c>
      <c r="E26" s="84">
        <f>+E24/E25*100</f>
        <v>466.7820846546341</v>
      </c>
      <c r="F26" s="84">
        <f>+F24/F25*100</f>
        <v>342.56753260989512</v>
      </c>
      <c r="G26" s="84">
        <f>+G24/G25*100</f>
        <v>332.83828829127725</v>
      </c>
      <c r="H26" s="84">
        <f>+H24/H25*100</f>
        <v>465.2582695436534</v>
      </c>
    </row>
    <row r="27" spans="1:26" x14ac:dyDescent="0.3">
      <c r="A27" s="126" t="s">
        <v>110</v>
      </c>
      <c r="B27" s="126" t="s">
        <v>108</v>
      </c>
      <c r="C27" s="21" t="s">
        <v>138</v>
      </c>
      <c r="D27" s="22">
        <f>+'Demonstração de Resultados'!$C$11/'Demonstração de Resultados'!$C$5</f>
        <v>8.6147442214230194E-2</v>
      </c>
      <c r="E27" s="22">
        <f>+'Demonstração de Resultados'!D11/'Demonstração de Resultados'!D5</f>
        <v>8.7179918050274086E-2</v>
      </c>
      <c r="F27" s="22">
        <f>+'Demonstração de Resultados'!E11/'Demonstração de Resultados'!E5</f>
        <v>9.2108303554561219E-2</v>
      </c>
      <c r="G27" s="22">
        <f>+'Demonstração de Resultados'!F11/'Demonstração de Resultados'!F5</f>
        <v>0.12904371320848471</v>
      </c>
      <c r="H27" s="22">
        <f>+'Demonstração de Resultados'!G11/'Demonstração de Resultados'!G5</f>
        <v>9.99016672698885E-2</v>
      </c>
    </row>
    <row r="28" spans="1:26" x14ac:dyDescent="0.3">
      <c r="A28" s="127"/>
      <c r="B28" s="127"/>
      <c r="C28" s="31" t="s">
        <v>139</v>
      </c>
      <c r="D28" s="30" t="e">
        <f>+'Dados do Setor'!$C$8/'Dados do Setor'!$C$4</f>
        <v>#DIV/0!</v>
      </c>
      <c r="E28" s="30">
        <f>+'Dados do Setor'!D8/'Dados do Setor'!D4</f>
        <v>9.5441089402013027E-2</v>
      </c>
      <c r="F28" s="30">
        <f>+'Dados do Setor'!E8/'Dados do Setor'!E4</f>
        <v>0.10566701865540302</v>
      </c>
      <c r="G28" s="30">
        <f>+'Dados do Setor'!F8/'Dados do Setor'!F4</f>
        <v>0.11236623067776456</v>
      </c>
      <c r="H28" s="30">
        <f>+'Dados do Setor'!G8/'Dados do Setor'!G4</f>
        <v>7.7532467532467536E-2</v>
      </c>
    </row>
    <row r="29" spans="1:26" x14ac:dyDescent="0.3">
      <c r="A29" s="128"/>
      <c r="B29" s="128"/>
      <c r="C29" s="32" t="s">
        <v>461</v>
      </c>
      <c r="D29" s="84" t="e">
        <f>+D27/D28*100</f>
        <v>#DIV/0!</v>
      </c>
      <c r="E29" s="84">
        <f>+E27/E28*100</f>
        <v>91.34421934672018</v>
      </c>
      <c r="F29" s="84">
        <f>+F27/F28*100</f>
        <v>87.16845116539254</v>
      </c>
      <c r="G29" s="84">
        <f>+G27/G28*100</f>
        <v>114.84207704585782</v>
      </c>
      <c r="H29" s="84">
        <f>+H27/H28*100</f>
        <v>128.85139664625484</v>
      </c>
    </row>
    <row r="30" spans="1:26" x14ac:dyDescent="0.3">
      <c r="A30" s="126" t="s">
        <v>112</v>
      </c>
      <c r="B30" s="126" t="s">
        <v>113</v>
      </c>
      <c r="C30" s="21" t="s">
        <v>138</v>
      </c>
      <c r="D30" s="22">
        <f>+'Demonstração de Resultados'!$C$10/'Demonstração de Resultados'!$C$5</f>
        <v>0.57901135381679703</v>
      </c>
      <c r="E30" s="22">
        <f>+'Demonstração de Resultados'!D10/'Demonstração de Resultados'!D5</f>
        <v>0.61568640058027657</v>
      </c>
      <c r="F30" s="22">
        <f>+'Demonstração de Resultados'!E10/'Demonstração de Resultados'!E5</f>
        <v>0.57805689681579864</v>
      </c>
      <c r="G30" s="22">
        <f>+'Demonstração de Resultados'!F10/'Demonstração de Resultados'!F5</f>
        <v>0.59523046592923312</v>
      </c>
      <c r="H30" s="22">
        <f>+'Demonstração de Resultados'!G10/'Demonstração de Resultados'!G5</f>
        <v>0.55048924793782905</v>
      </c>
    </row>
    <row r="31" spans="1:26" x14ac:dyDescent="0.3">
      <c r="A31" s="127"/>
      <c r="B31" s="127"/>
      <c r="C31" s="31" t="s">
        <v>139</v>
      </c>
      <c r="D31" s="30" t="e">
        <f>+'Dados do Setor'!$C$6/'Dados do Setor'!$C$4</f>
        <v>#DIV/0!</v>
      </c>
      <c r="E31" s="30">
        <f>+'Dados do Setor'!D6/'Dados do Setor'!D4</f>
        <v>0.79899348727057429</v>
      </c>
      <c r="F31" s="30">
        <f>+'Dados do Setor'!E6/'Dados do Setor'!E4</f>
        <v>0.80851812741992257</v>
      </c>
      <c r="G31" s="30">
        <f>+'Dados do Setor'!F6/'Dados do Setor'!F4</f>
        <v>0.73602853745541019</v>
      </c>
      <c r="H31" s="30">
        <f>+'Dados do Setor'!G6/'Dados do Setor'!G4</f>
        <v>0.79653679653679654</v>
      </c>
    </row>
    <row r="32" spans="1:26" x14ac:dyDescent="0.3">
      <c r="A32" s="128"/>
      <c r="B32" s="128"/>
      <c r="C32" s="32" t="s">
        <v>461</v>
      </c>
      <c r="D32" s="84" t="e">
        <f>+D30/D31*100</f>
        <v>#DIV/0!</v>
      </c>
      <c r="E32" s="84">
        <f>+E30/E31*100</f>
        <v>77.057749579850849</v>
      </c>
      <c r="F32" s="84">
        <f>+F30/F31*100</f>
        <v>71.495848665811224</v>
      </c>
      <c r="G32" s="84">
        <f>+G30/G31*100</f>
        <v>80.870568957428929</v>
      </c>
      <c r="H32" s="84">
        <f>+H30/H31*100</f>
        <v>69.110334931325283</v>
      </c>
    </row>
    <row r="33" spans="1:8" x14ac:dyDescent="0.3">
      <c r="A33" s="126" t="s">
        <v>111</v>
      </c>
      <c r="B33" s="126" t="s">
        <v>105</v>
      </c>
      <c r="C33" s="21" t="s">
        <v>138</v>
      </c>
      <c r="D33" s="22">
        <f>+('Demonstração de Resultados'!$C$10+'Demonstração de Resultados'!$C$11+'Demonstração de Resultados'!$C$12)/'Demonstração de Resultados'!$C$5</f>
        <v>0.8981863362914061</v>
      </c>
      <c r="E33" s="22">
        <f>+('Demonstração de Resultados'!D10+'Demonstração de Resultados'!D11+'Demonstração de Resultados'!D12)/'Demonstração de Resultados'!D5</f>
        <v>0.94192286287345095</v>
      </c>
      <c r="F33" s="22">
        <f>+('Demonstração de Resultados'!E10+'Demonstração de Resultados'!E11+'Demonstração de Resultados'!E12)/'Demonstração de Resultados'!E5</f>
        <v>0.89070586110372774</v>
      </c>
      <c r="G33" s="22">
        <f>+('Demonstração de Resultados'!F10+'Demonstração de Resultados'!F11+'Demonstração de Resultados'!F12)/'Demonstração de Resultados'!F5</f>
        <v>0.95869892677687751</v>
      </c>
      <c r="H33" s="22">
        <f>+('Demonstração de Resultados'!G10+'Demonstração de Resultados'!G11+'Demonstração de Resultados'!G12)/'Demonstração de Resultados'!G5</f>
        <v>0.85170071625052346</v>
      </c>
    </row>
    <row r="34" spans="1:8" x14ac:dyDescent="0.3">
      <c r="A34" s="127"/>
      <c r="B34" s="127"/>
      <c r="C34" s="31" t="s">
        <v>139</v>
      </c>
      <c r="D34" s="30" t="e">
        <f>+('Dados do Setor'!$C$6+'Dados do Setor'!$C$7+'Dados do Setor'!$C$8)/'Dados do Setor'!$C$4</f>
        <v>#DIV/0!</v>
      </c>
      <c r="E34" s="30">
        <f>+('Dados do Setor'!D6+'Dados do Setor'!D7+'Dados do Setor'!D8)/'Dados do Setor'!D4</f>
        <v>0.94564831261101245</v>
      </c>
      <c r="F34" s="30">
        <f>+('Dados do Setor'!E6+'Dados do Setor'!E7+'Dados do Setor'!E8)/'Dados do Setor'!E4</f>
        <v>0.97856388595564947</v>
      </c>
      <c r="G34" s="30">
        <f>+('Dados do Setor'!F6+'Dados do Setor'!F7+'Dados do Setor'!F8)/'Dados do Setor'!F4</f>
        <v>0.91882679349980179</v>
      </c>
      <c r="H34" s="30">
        <f>+('Dados do Setor'!G6+'Dados do Setor'!G7+'Dados do Setor'!G8)/'Dados do Setor'!G4</f>
        <v>0.91733766233766234</v>
      </c>
    </row>
    <row r="35" spans="1:8" x14ac:dyDescent="0.3">
      <c r="A35" s="128"/>
      <c r="B35" s="128"/>
      <c r="C35" s="32" t="s">
        <v>461</v>
      </c>
      <c r="D35" s="84" t="e">
        <f>+D33/D34*100</f>
        <v>#DIV/0!</v>
      </c>
      <c r="E35" s="84">
        <f>+E33/E34*100</f>
        <v>99.60604278695584</v>
      </c>
      <c r="F35" s="84">
        <f>+F33/F34*100</f>
        <v>91.021738476878184</v>
      </c>
      <c r="G35" s="84">
        <f>+G33/G34*100</f>
        <v>104.33946131731784</v>
      </c>
      <c r="H35" s="84">
        <f>+H33/H34*100</f>
        <v>92.84484342222737</v>
      </c>
    </row>
    <row r="36" spans="1:8" x14ac:dyDescent="0.3">
      <c r="A36" s="126" t="s">
        <v>114</v>
      </c>
      <c r="B36" s="126" t="s">
        <v>116</v>
      </c>
      <c r="C36" s="21" t="s">
        <v>138</v>
      </c>
      <c r="D36" s="29">
        <f>+(Balanço!$C$55/(('Demonstração de Resultados'!$C$10+'Demonstração de Resultados'!$C$11)*1.23))*365</f>
        <v>64.441929962468592</v>
      </c>
      <c r="E36" s="29">
        <f>+(Balanço!D55/(('Demonstração de Resultados'!D10+'Demonstração de Resultados'!D11)*1.23))*365</f>
        <v>53.528273552540981</v>
      </c>
      <c r="F36" s="29">
        <f>+(Balanço!E55/(('Demonstração de Resultados'!E10+'Demonstração de Resultados'!E11)*1.23))*365</f>
        <v>41.743900420711832</v>
      </c>
      <c r="G36" s="29">
        <f>+(Balanço!F55/(('Demonstração de Resultados'!F10+'Demonstração de Resultados'!F11)*1.23))*365</f>
        <v>83.322624516067137</v>
      </c>
      <c r="H36" s="29">
        <f>+(Balanço!G55/(('Demonstração de Resultados'!G10+'Demonstração de Resultados'!G11)*1.23))*365</f>
        <v>54.06430636326192</v>
      </c>
    </row>
    <row r="37" spans="1:8" x14ac:dyDescent="0.3">
      <c r="A37" s="127"/>
      <c r="B37" s="127"/>
      <c r="C37" s="31" t="s">
        <v>139</v>
      </c>
      <c r="D37" s="33">
        <f>+'Dados do Setor'!$C$22</f>
        <v>0</v>
      </c>
      <c r="E37" s="33">
        <f>+'Dados do Setor'!D22</f>
        <v>34</v>
      </c>
      <c r="F37" s="33">
        <f>+'Dados do Setor'!E22</f>
        <v>37</v>
      </c>
      <c r="G37" s="33">
        <f>+'Dados do Setor'!F22</f>
        <v>40</v>
      </c>
      <c r="H37" s="33">
        <f>+'Dados do Setor'!G22</f>
        <v>25</v>
      </c>
    </row>
    <row r="38" spans="1:8" x14ac:dyDescent="0.3">
      <c r="A38" s="128"/>
      <c r="B38" s="128"/>
      <c r="C38" s="32" t="s">
        <v>461</v>
      </c>
      <c r="D38" s="34" t="e">
        <f>+D36/D37*100</f>
        <v>#DIV/0!</v>
      </c>
      <c r="E38" s="34">
        <f>+E36/E37*100</f>
        <v>157.43609868394407</v>
      </c>
      <c r="F38" s="34">
        <f>+F36/F37*100</f>
        <v>112.82135248841037</v>
      </c>
      <c r="G38" s="34">
        <f>+G36/G37*100</f>
        <v>208.30656129016782</v>
      </c>
      <c r="H38" s="34">
        <f>+H36/H37*100</f>
        <v>216.25722545304765</v>
      </c>
    </row>
    <row r="39" spans="1:8" x14ac:dyDescent="0.3">
      <c r="A39" s="126" t="s">
        <v>115</v>
      </c>
      <c r="B39" s="126" t="s">
        <v>117</v>
      </c>
      <c r="C39" s="21" t="s">
        <v>138</v>
      </c>
      <c r="D39" s="29">
        <f>+(Balanço!$C$20/('Demonstração de Resultados'!$C$5*1.23))*365</f>
        <v>54.73664247762698</v>
      </c>
      <c r="E39" s="29">
        <f>+(Balanço!D20/('Demonstração de Resultados'!D5*1.23))*365</f>
        <v>40.050145350812791</v>
      </c>
      <c r="F39" s="29">
        <f>+(Balanço!E20/('Demonstração de Resultados'!E5*1.23))*365</f>
        <v>52.354435125686585</v>
      </c>
      <c r="G39" s="29">
        <f>+(Balanço!F20/('Demonstração de Resultados'!F5*1.23))*365</f>
        <v>65.047193907417494</v>
      </c>
      <c r="H39" s="29">
        <f>+(Balanço!G20/('Demonstração de Resultados'!G5*1.23))*365</f>
        <v>58.301957775141851</v>
      </c>
    </row>
    <row r="40" spans="1:8" x14ac:dyDescent="0.3">
      <c r="A40" s="127"/>
      <c r="B40" s="127"/>
      <c r="C40" s="31" t="s">
        <v>139</v>
      </c>
      <c r="D40" s="33">
        <f>+'Dados do Setor'!$C$23</f>
        <v>0</v>
      </c>
      <c r="E40" s="33">
        <f>+'Dados do Setor'!D23</f>
        <v>34</v>
      </c>
      <c r="F40" s="33">
        <f>+'Dados do Setor'!E23</f>
        <v>42</v>
      </c>
      <c r="G40" s="33">
        <f>+'Dados do Setor'!F23</f>
        <v>50</v>
      </c>
      <c r="H40" s="33">
        <f>+'Dados do Setor'!G23</f>
        <v>33</v>
      </c>
    </row>
    <row r="41" spans="1:8" x14ac:dyDescent="0.3">
      <c r="A41" s="128"/>
      <c r="B41" s="128"/>
      <c r="C41" s="32" t="s">
        <v>461</v>
      </c>
      <c r="D41" s="34" t="e">
        <f>+D39/D40*100</f>
        <v>#DIV/0!</v>
      </c>
      <c r="E41" s="34">
        <f>+E39/E40*100</f>
        <v>117.79454514944938</v>
      </c>
      <c r="F41" s="34">
        <f>+F39/F40*100</f>
        <v>124.65341696592046</v>
      </c>
      <c r="G41" s="34">
        <f>+G39/G40*100</f>
        <v>130.09438781483499</v>
      </c>
      <c r="H41" s="34">
        <f>+H39/H40*100</f>
        <v>176.67259931861167</v>
      </c>
    </row>
    <row r="42" spans="1:8" x14ac:dyDescent="0.3">
      <c r="A42" s="126" t="s">
        <v>456</v>
      </c>
      <c r="B42" s="126" t="s">
        <v>457</v>
      </c>
      <c r="C42" s="21" t="s">
        <v>138</v>
      </c>
      <c r="D42" s="35">
        <f>+'Demonstração de Resultados'!$C$36/'Demonstração de Resultados'!$C$37</f>
        <v>21367.446712328761</v>
      </c>
      <c r="E42" s="35">
        <f>+'Demonstração de Resultados'!D36/'Demonstração de Resultados'!D37</f>
        <v>19676.290928571427</v>
      </c>
      <c r="F42" s="35">
        <f>+'Demonstração de Resultados'!E36/'Demonstração de Resultados'!E37</f>
        <v>23802.161417322819</v>
      </c>
      <c r="G42" s="35">
        <f>+'Demonstração de Resultados'!F36/'Demonstração de Resultados'!F37</f>
        <v>19537.261481481481</v>
      </c>
      <c r="H42" s="35">
        <f>+'Demonstração de Resultados'!F36/'Demonstração de Resultados'!F37</f>
        <v>19537.261481481481</v>
      </c>
    </row>
    <row r="43" spans="1:8" x14ac:dyDescent="0.3">
      <c r="A43" s="127"/>
      <c r="B43" s="127"/>
      <c r="C43" s="31" t="s">
        <v>139</v>
      </c>
      <c r="D43" s="68" t="e">
        <f>'Dados do Setor'!C26/'Dados do Setor'!C25</f>
        <v>#DIV/0!</v>
      </c>
      <c r="E43" s="68">
        <f>'Dados do Setor'!D26/'Dados do Setor'!D25</f>
        <v>41722.222222222219</v>
      </c>
      <c r="F43" s="68">
        <f>'Dados do Setor'!E26/'Dados do Setor'!E25</f>
        <v>33388.888888888891</v>
      </c>
      <c r="G43" s="68">
        <f>'Dados do Setor'!F26/'Dados do Setor'!F25</f>
        <v>33955.555555555555</v>
      </c>
      <c r="H43" s="68">
        <f>'Dados do Setor'!G26/'Dados do Setor'!G25</f>
        <v>62444.444444444445</v>
      </c>
    </row>
    <row r="44" spans="1:8" x14ac:dyDescent="0.3">
      <c r="A44" s="128"/>
      <c r="B44" s="128"/>
      <c r="C44" s="32" t="s">
        <v>461</v>
      </c>
      <c r="D44" s="84" t="e">
        <f>+D42/D43*100</f>
        <v>#DIV/0!</v>
      </c>
      <c r="E44" s="84">
        <f>+E42/E43*100</f>
        <v>47.16021793798744</v>
      </c>
      <c r="F44" s="84">
        <f>+F42/F43*100</f>
        <v>71.287671466191469</v>
      </c>
      <c r="G44" s="84">
        <f>+G42/G43*100</f>
        <v>57.537746509598598</v>
      </c>
      <c r="H44" s="84">
        <f>+H42/H43*100</f>
        <v>31.287429418742583</v>
      </c>
    </row>
    <row r="45" spans="1:8" x14ac:dyDescent="0.3">
      <c r="A45" s="126" t="s">
        <v>454</v>
      </c>
      <c r="B45" s="126" t="s">
        <v>455</v>
      </c>
      <c r="C45" s="21" t="s">
        <v>138</v>
      </c>
      <c r="D45" s="22">
        <f>+Indicadores!C19</f>
        <v>0.78659999999999997</v>
      </c>
      <c r="E45" s="22">
        <f>+Indicadores!D19</f>
        <v>0.83740000000000003</v>
      </c>
      <c r="F45" s="22">
        <f>+Indicadores!E19</f>
        <v>0.91239999999999999</v>
      </c>
      <c r="G45" s="22">
        <f>+Indicadores!F19</f>
        <v>0.91290000000000004</v>
      </c>
      <c r="H45" s="22">
        <f>+Indicadores!G19</f>
        <v>0.93379999999999996</v>
      </c>
    </row>
    <row r="46" spans="1:8" x14ac:dyDescent="0.3">
      <c r="A46" s="127"/>
      <c r="B46" s="127"/>
      <c r="C46" s="31" t="s">
        <v>139</v>
      </c>
      <c r="D46" s="30" t="e">
        <f>+'Dados do Setor'!C27</f>
        <v>#DIV/0!</v>
      </c>
      <c r="E46" s="30">
        <f xml:space="preserve"> 'Dados do Setor'!D27</f>
        <v>9.9822380106571934E-2</v>
      </c>
      <c r="F46" s="30">
        <f>+'Dados do Setor'!E27</f>
        <v>0.12154605169780684</v>
      </c>
      <c r="G46" s="30">
        <f xml:space="preserve"> 'Dados do Setor'!F27</f>
        <v>9.4357132071673039E-2</v>
      </c>
      <c r="H46" s="30">
        <f>+'Dados do Setor'!G27</f>
        <v>9.480948694255055E-2</v>
      </c>
    </row>
    <row r="47" spans="1:8" x14ac:dyDescent="0.3">
      <c r="A47" s="128"/>
      <c r="B47" s="128"/>
      <c r="C47" s="32" t="s">
        <v>461</v>
      </c>
      <c r="D47" s="84" t="e">
        <f>+D45/D46*100</f>
        <v>#DIV/0!</v>
      </c>
      <c r="E47" s="84">
        <f>+E45/E46*100</f>
        <v>838.89003558718866</v>
      </c>
      <c r="F47" s="84">
        <f>+F45/F46*100</f>
        <v>750.66198140968754</v>
      </c>
      <c r="G47" s="84">
        <f>+G45/G46*100</f>
        <v>967.49443307217882</v>
      </c>
      <c r="H47" s="84">
        <f>+H45/H46*100</f>
        <v>984.92253266366947</v>
      </c>
    </row>
    <row r="48" spans="1:8" x14ac:dyDescent="0.3">
      <c r="A48" s="129" t="s">
        <v>118</v>
      </c>
      <c r="B48" s="129"/>
      <c r="C48" s="129"/>
      <c r="D48" s="129"/>
      <c r="E48" s="129"/>
      <c r="F48" s="129"/>
      <c r="G48" s="129"/>
      <c r="H48" s="129"/>
    </row>
    <row r="49" spans="1:8" x14ac:dyDescent="0.3">
      <c r="A49" s="126" t="s">
        <v>119</v>
      </c>
      <c r="B49" s="126" t="s">
        <v>120</v>
      </c>
      <c r="C49" s="21" t="s">
        <v>138</v>
      </c>
      <c r="D49" s="22">
        <f>+Balanço!$C$17/Balanço!$C$54</f>
        <v>3.3279040817841121</v>
      </c>
      <c r="E49" s="22">
        <f>+Balanço!D17/Balanço!D54</f>
        <v>3.6921379687761524</v>
      </c>
      <c r="F49" s="22">
        <f>+Balanço!E17/Balanço!E54</f>
        <v>3.3108491065906649</v>
      </c>
      <c r="G49" s="22">
        <f>+Balanço!F17/Balanço!F54</f>
        <v>1.550896543398441</v>
      </c>
      <c r="H49" s="22">
        <f>+Balanço!G17/Balanço!G54</f>
        <v>2.6558340888656571</v>
      </c>
    </row>
    <row r="50" spans="1:8" x14ac:dyDescent="0.3">
      <c r="A50" s="127"/>
      <c r="B50" s="127"/>
      <c r="C50" s="31" t="s">
        <v>139</v>
      </c>
      <c r="D50" s="30" t="e">
        <f>+'Dados do Setor'!$C$13/'Dados do Setor'!$C$14</f>
        <v>#DIV/0!</v>
      </c>
      <c r="E50" s="30">
        <f>+'Dados do Setor'!D13/'Dados do Setor'!D14</f>
        <v>1.2043758306921584</v>
      </c>
      <c r="F50" s="30">
        <f>+'Dados do Setor'!E13/'Dados do Setor'!E14</f>
        <v>1.7055499203014055</v>
      </c>
      <c r="G50" s="30">
        <f>+'Dados do Setor'!F13/'Dados do Setor'!F14</f>
        <v>1.7434562987907547</v>
      </c>
      <c r="H50" s="30">
        <f>+'Dados do Setor'!G13/'Dados do Setor'!G14</f>
        <v>1.7176030962231417</v>
      </c>
    </row>
    <row r="51" spans="1:8" x14ac:dyDescent="0.3">
      <c r="A51" s="128"/>
      <c r="B51" s="128"/>
      <c r="C51" s="32" t="s">
        <v>461</v>
      </c>
      <c r="D51" s="84" t="e">
        <f>+D49/D50*100</f>
        <v>#DIV/0!</v>
      </c>
      <c r="E51" s="84">
        <f>+E49/E50*100</f>
        <v>306.56028414770412</v>
      </c>
      <c r="F51" s="84">
        <f>+F49/F50*100</f>
        <v>194.12208737962769</v>
      </c>
      <c r="G51" s="84">
        <f>+G49/G50*100</f>
        <v>88.955286374205571</v>
      </c>
      <c r="H51" s="84">
        <f>+H49/H50*100</f>
        <v>154.62443533698809</v>
      </c>
    </row>
    <row r="52" spans="1:8" x14ac:dyDescent="0.3">
      <c r="A52" s="126" t="s">
        <v>121</v>
      </c>
      <c r="B52" s="126" t="s">
        <v>122</v>
      </c>
      <c r="C52" s="21" t="s">
        <v>138</v>
      </c>
      <c r="D52" s="22">
        <f>+(Balanço!$C$17-Balanço!$C$18)/Balanço!$C$54</f>
        <v>2.9005202723168235</v>
      </c>
      <c r="E52" s="22">
        <f>+(Balanço!D17-Balanço!D18)/Balanço!D54</f>
        <v>3.1273952380375549</v>
      </c>
      <c r="F52" s="22">
        <f>+(Balanço!E17-Balanço!E18)/Balanço!E54</f>
        <v>2.9256799146473753</v>
      </c>
      <c r="G52" s="22">
        <f>+(Balanço!F17-Balanço!F18)/Balanço!F54</f>
        <v>1.3400343112494026</v>
      </c>
      <c r="H52" s="22">
        <f>+(Balanço!G17-Balanço!G18)/Balanço!G54</f>
        <v>1.6745807490337179</v>
      </c>
    </row>
    <row r="53" spans="1:8" x14ac:dyDescent="0.3">
      <c r="A53" s="127"/>
      <c r="B53" s="127"/>
      <c r="C53" s="31" t="s">
        <v>139</v>
      </c>
      <c r="D53" s="30" t="e">
        <f>+('Dados do Setor'!$C$13-'Dados do Setor'!$C$17)/'Dados do Setor'!$C$14</f>
        <v>#DIV/0!</v>
      </c>
      <c r="E53" s="30">
        <f>+('Dados do Setor'!D13-'Dados do Setor'!D17)/'Dados do Setor'!D14</f>
        <v>0.72293221551988551</v>
      </c>
      <c r="F53" s="30">
        <f>+('Dados do Setor'!E13-'Dados do Setor'!E17)/'Dados do Setor'!E14</f>
        <v>0.9605854224025504</v>
      </c>
      <c r="G53" s="30">
        <f>+('Dados do Setor'!F13-'Dados do Setor'!F17)/'Dados do Setor'!F14</f>
        <v>1.1397520281647022</v>
      </c>
      <c r="H53" s="30">
        <f>+('Dados do Setor'!G13-'Dados do Setor'!G17)/'Dados do Setor'!G14</f>
        <v>1.2762578406512746</v>
      </c>
    </row>
    <row r="54" spans="1:8" x14ac:dyDescent="0.3">
      <c r="A54" s="128"/>
      <c r="B54" s="128"/>
      <c r="C54" s="32" t="s">
        <v>461</v>
      </c>
      <c r="D54" s="84" t="e">
        <f>+D52/D53*100</f>
        <v>#DIV/0!</v>
      </c>
      <c r="E54" s="84">
        <f>+E52/E53*100</f>
        <v>432.59868226906127</v>
      </c>
      <c r="F54" s="84">
        <f>+F52/F53*100</f>
        <v>304.5725915067361</v>
      </c>
      <c r="G54" s="84">
        <f>+G52/G53*100</f>
        <v>117.57244366629529</v>
      </c>
      <c r="H54" s="84">
        <f>+H52/H53*100</f>
        <v>131.21022223684668</v>
      </c>
    </row>
    <row r="55" spans="1:8" x14ac:dyDescent="0.3">
      <c r="A55" s="126" t="s">
        <v>123</v>
      </c>
      <c r="B55" s="126" t="s">
        <v>124</v>
      </c>
      <c r="C55" s="21" t="s">
        <v>138</v>
      </c>
      <c r="D55" s="22">
        <f>+Balanço!$C$30/Balanço!$C$54</f>
        <v>1.0688846665751894</v>
      </c>
      <c r="E55" s="22">
        <f>+Balanço!D30/Balanço!D54</f>
        <v>1.5355406804137075</v>
      </c>
      <c r="F55" s="22">
        <f>+Balanço!E30/Balanço!E54</f>
        <v>1.2045406373130232</v>
      </c>
      <c r="G55" s="22">
        <f>+Balanço!F30/Balanço!F54</f>
        <v>0.37435502549748656</v>
      </c>
      <c r="H55" s="22">
        <f>+Balanço!G30/Balanço!G54</f>
        <v>0.24765140991901755</v>
      </c>
    </row>
    <row r="56" spans="1:8" x14ac:dyDescent="0.3">
      <c r="A56" s="127"/>
      <c r="B56" s="127"/>
      <c r="C56" s="31" t="s">
        <v>139</v>
      </c>
      <c r="D56" s="30" t="e">
        <f>+'Dados do Setor'!$C$18/'Dados do Setor'!$C$14</f>
        <v>#DIV/0!</v>
      </c>
      <c r="E56" s="30">
        <f>+'Dados do Setor'!D18/'Dados do Setor'!D14</f>
        <v>0.16020856763112157</v>
      </c>
      <c r="F56" s="30">
        <f>+'Dados do Setor'!E18/'Dados do Setor'!E14</f>
        <v>0.18229242138820462</v>
      </c>
      <c r="G56" s="30">
        <f>+'Dados do Setor'!F18/'Dados do Setor'!F14</f>
        <v>0.25516607990203583</v>
      </c>
      <c r="H56" s="30">
        <f>+'Dados do Setor'!G18/'Dados do Setor'!G14</f>
        <v>0.43093553983718136</v>
      </c>
    </row>
    <row r="57" spans="1:8" x14ac:dyDescent="0.3">
      <c r="A57" s="128"/>
      <c r="B57" s="128"/>
      <c r="C57" s="32" t="s">
        <v>461</v>
      </c>
      <c r="D57" s="84" t="e">
        <f>+D55/D56*100</f>
        <v>#DIV/0!</v>
      </c>
      <c r="E57" s="84">
        <f>+E55/E56*100</f>
        <v>958.46352234374433</v>
      </c>
      <c r="F57" s="84">
        <f>+F55/F56*100</f>
        <v>660.77384245605504</v>
      </c>
      <c r="G57" s="84">
        <f>+G55/G56*100</f>
        <v>146.71034082633952</v>
      </c>
      <c r="H57" s="84">
        <f>+H55/H56*100</f>
        <v>57.468318814592713</v>
      </c>
    </row>
    <row r="58" spans="1:8" x14ac:dyDescent="0.3">
      <c r="A58" s="129" t="s">
        <v>125</v>
      </c>
      <c r="B58" s="129"/>
      <c r="C58" s="129"/>
      <c r="D58" s="129"/>
      <c r="E58" s="129"/>
      <c r="F58" s="129"/>
      <c r="G58" s="129"/>
      <c r="H58" s="129"/>
    </row>
    <row r="59" spans="1:8" x14ac:dyDescent="0.3">
      <c r="A59" s="126" t="s">
        <v>94</v>
      </c>
      <c r="B59" s="126" t="s">
        <v>126</v>
      </c>
      <c r="C59" s="21" t="s">
        <v>138</v>
      </c>
      <c r="D59" s="22">
        <f>+Balanço!$C$46/Balanço!$C$31</f>
        <v>0.68876843843847013</v>
      </c>
      <c r="E59" s="22">
        <f>+Balanço!D46/Balanço!D31</f>
        <v>0.73041885626901493</v>
      </c>
      <c r="F59" s="22">
        <f>+Balanço!E46/Balanço!E31</f>
        <v>0.75926150371354073</v>
      </c>
      <c r="G59" s="22">
        <f>+Balanço!F46/Balanço!F31</f>
        <v>0.56023880032518347</v>
      </c>
      <c r="H59" s="22">
        <f>+Balanço!G46/Balanço!G31</f>
        <v>0.5784485773339535</v>
      </c>
    </row>
    <row r="60" spans="1:8" x14ac:dyDescent="0.3">
      <c r="A60" s="127"/>
      <c r="B60" s="127"/>
      <c r="C60" s="31" t="s">
        <v>139</v>
      </c>
      <c r="D60" s="30" t="e">
        <f>+'Dados do Setor'!$C$12/'Dados do Setor'!$C$10</f>
        <v>#DIV/0!</v>
      </c>
      <c r="E60" s="30">
        <f>+'Dados do Setor'!D12/'Dados do Setor'!D10</f>
        <v>0.47909604519774013</v>
      </c>
      <c r="F60" s="30">
        <f>+'Dados do Setor'!E12/'Dados do Setor'!E10</f>
        <v>0.47192264782447008</v>
      </c>
      <c r="G60" s="30">
        <f>+'Dados do Setor'!F12/'Dados do Setor'!F10</f>
        <v>0.47622585438335807</v>
      </c>
      <c r="H60" s="30">
        <f>+'Dados do Setor'!G12/'Dados do Setor'!G10</f>
        <v>0.49754385964912279</v>
      </c>
    </row>
    <row r="61" spans="1:8" x14ac:dyDescent="0.3">
      <c r="A61" s="128"/>
      <c r="B61" s="128"/>
      <c r="C61" s="32" t="s">
        <v>461</v>
      </c>
      <c r="D61" s="84" t="e">
        <f>+D59/D60*100</f>
        <v>#DIV/0!</v>
      </c>
      <c r="E61" s="84">
        <f>+E59/E60*100</f>
        <v>152.45770938633919</v>
      </c>
      <c r="F61" s="84">
        <f>+F59/F60*100</f>
        <v>160.88685449059977</v>
      </c>
      <c r="G61" s="84">
        <f>+G59/G60*100</f>
        <v>117.64140799340046</v>
      </c>
      <c r="H61" s="84">
        <f>+H59/H60*100</f>
        <v>116.26082125541379</v>
      </c>
    </row>
    <row r="62" spans="1:8" x14ac:dyDescent="0.3">
      <c r="A62" s="126" t="s">
        <v>127</v>
      </c>
      <c r="B62" s="126" t="s">
        <v>128</v>
      </c>
      <c r="C62" s="21" t="s">
        <v>138</v>
      </c>
      <c r="D62" s="22">
        <f>+Balanço!$C$66/Balanço!$C$31</f>
        <v>0.31123156156152992</v>
      </c>
      <c r="E62" s="22">
        <f>+Balanço!D66/Balanço!D31</f>
        <v>0.26958114373098496</v>
      </c>
      <c r="F62" s="22">
        <f>+Balanço!E66/Balanço!E31</f>
        <v>0.24073849628645932</v>
      </c>
      <c r="G62" s="22">
        <f>+Balanço!F66/Balanço!F31</f>
        <v>0.43976119967481658</v>
      </c>
      <c r="H62" s="22">
        <f>+Balanço!G66/Balanço!G31</f>
        <v>0.42155142266604645</v>
      </c>
    </row>
    <row r="63" spans="1:8" x14ac:dyDescent="0.3">
      <c r="A63" s="127"/>
      <c r="B63" s="127"/>
      <c r="C63" s="31" t="s">
        <v>139</v>
      </c>
      <c r="D63" s="30" t="e">
        <f>+'Dados do Setor'!$C$11/'Dados do Setor'!$C$10</f>
        <v>#DIV/0!</v>
      </c>
      <c r="E63" s="30">
        <f>+'Dados do Setor'!D11/'Dados do Setor'!D10</f>
        <v>0.52090395480225993</v>
      </c>
      <c r="F63" s="30">
        <f>+'Dados do Setor'!E11/'Dados do Setor'!E10</f>
        <v>0.52807735217552998</v>
      </c>
      <c r="G63" s="30">
        <f>+'Dados do Setor'!F11/'Dados do Setor'!F10</f>
        <v>0.52377414561664193</v>
      </c>
      <c r="H63" s="30">
        <f>+'Dados do Setor'!G11/'Dados do Setor'!G10</f>
        <v>0.50245614035087716</v>
      </c>
    </row>
    <row r="64" spans="1:8" x14ac:dyDescent="0.3">
      <c r="A64" s="128"/>
      <c r="B64" s="128"/>
      <c r="C64" s="32" t="s">
        <v>461</v>
      </c>
      <c r="D64" s="84" t="e">
        <f>+D62/D63*100</f>
        <v>#DIV/0!</v>
      </c>
      <c r="E64" s="84">
        <f>+E62/E63*100</f>
        <v>51.75256229976609</v>
      </c>
      <c r="F64" s="84">
        <f>+F62/F63*100</f>
        <v>45.587733557344301</v>
      </c>
      <c r="G64" s="84">
        <f>+G62/G63*100</f>
        <v>83.960081526567805</v>
      </c>
      <c r="H64" s="84">
        <f>+H62/H63*100</f>
        <v>83.898153254066514</v>
      </c>
    </row>
    <row r="65" spans="1:8" x14ac:dyDescent="0.3">
      <c r="A65" s="126" t="s">
        <v>129</v>
      </c>
      <c r="B65" s="126" t="s">
        <v>130</v>
      </c>
      <c r="C65" s="21" t="s">
        <v>138</v>
      </c>
      <c r="D65" s="22">
        <f>+Balanço!$C$31/Balanço!$C$66</f>
        <v>3.2130417460965051</v>
      </c>
      <c r="E65" s="22">
        <f>+Balanço!D31/Balanço!D66</f>
        <v>3.7094582586900069</v>
      </c>
      <c r="F65" s="22">
        <f>+Balanço!E31/Balanço!E66</f>
        <v>4.1538848810041626</v>
      </c>
      <c r="G65" s="22">
        <f>+Balanço!F31/Balanço!F66</f>
        <v>2.273961415285056</v>
      </c>
      <c r="H65" s="22">
        <f>+Balanço!G31/Balanço!G66</f>
        <v>2.3721898355261897</v>
      </c>
    </row>
    <row r="66" spans="1:8" x14ac:dyDescent="0.3">
      <c r="A66" s="127"/>
      <c r="B66" s="127"/>
      <c r="C66" s="31" t="s">
        <v>139</v>
      </c>
      <c r="D66" s="30" t="e">
        <f>+'Dados do Setor'!$C$10/'Dados do Setor'!$C$11</f>
        <v>#DIV/0!</v>
      </c>
      <c r="E66" s="30">
        <f>+'Dados do Setor'!D10/'Dados do Setor'!D11</f>
        <v>1.9197396963123645</v>
      </c>
      <c r="F66" s="30">
        <f>+'Dados do Setor'!E10/'Dados do Setor'!E11</f>
        <v>1.8936619718309859</v>
      </c>
      <c r="G66" s="30">
        <f>+'Dados do Setor'!F10/'Dados do Setor'!F11</f>
        <v>1.9092198581560285</v>
      </c>
      <c r="H66" s="30">
        <f>+'Dados do Setor'!G10/'Dados do Setor'!G11</f>
        <v>1.9902234636871508</v>
      </c>
    </row>
    <row r="67" spans="1:8" x14ac:dyDescent="0.3">
      <c r="A67" s="128"/>
      <c r="B67" s="128"/>
      <c r="C67" s="32" t="s">
        <v>461</v>
      </c>
      <c r="D67" s="84" t="e">
        <f>+D65/D66*100</f>
        <v>#DIV/0!</v>
      </c>
      <c r="E67" s="84">
        <f>+E65/E66*100</f>
        <v>193.22714771255289</v>
      </c>
      <c r="F67" s="84">
        <f>+F65/F66*100</f>
        <v>219.35725292026444</v>
      </c>
      <c r="G67" s="84">
        <f>+G65/G66*100</f>
        <v>119.104219745614</v>
      </c>
      <c r="H67" s="84">
        <f>+H65/H66*100</f>
        <v>119.19213489380715</v>
      </c>
    </row>
    <row r="68" spans="1:8" x14ac:dyDescent="0.3">
      <c r="A68" s="126" t="s">
        <v>131</v>
      </c>
      <c r="B68" s="126" t="s">
        <v>132</v>
      </c>
      <c r="C68" s="21" t="s">
        <v>138</v>
      </c>
      <c r="D68" s="22">
        <f>+(Balanço!$C$50+Balanço!$C$59)/(Balanço!$C$46+Balanço!$C$50+Balanço!$C$59)</f>
        <v>0.11533289875039002</v>
      </c>
      <c r="E68" s="22">
        <f>+(Balanço!D50+Balanço!D59)/(Balanço!D46+Balanço!D50+Balanço!D59)</f>
        <v>9.9316329838738615E-2</v>
      </c>
      <c r="F68" s="22">
        <f>+(Balanço!E50+Balanço!E59)/(Balanço!E46+Balanço!E50+Balanço!E59)</f>
        <v>5.6609746169564677E-2</v>
      </c>
      <c r="G68" s="22">
        <f>+(Balanço!F50+Balanço!F59)/(Balanço!F46+Balanço!F50+Balanço!F59)</f>
        <v>0.18381541881348662</v>
      </c>
      <c r="H68" s="22">
        <f>+(Balanço!G50+Balanço!G59)/(Balanço!G46+Balanço!G50+Balanço!G59)</f>
        <v>0.31224423229879961</v>
      </c>
    </row>
    <row r="69" spans="1:8" x14ac:dyDescent="0.3">
      <c r="A69" s="127"/>
      <c r="B69" s="127"/>
      <c r="C69" s="31" t="s">
        <v>139</v>
      </c>
      <c r="D69" s="30" t="e">
        <f>+'Dados do Setor'!$C$19/('Dados do Setor'!$C$19+'Dados do Setor'!$C$12)</f>
        <v>#DIV/0!</v>
      </c>
      <c r="E69" s="30">
        <f>+'Dados do Setor'!D19/('Dados do Setor'!D19+'Dados do Setor'!D12)</f>
        <v>0.42982652741046212</v>
      </c>
      <c r="F69" s="30">
        <f>+'Dados do Setor'!E19/('Dados do Setor'!E19+'Dados do Setor'!E12)</f>
        <v>0.443176831943835</v>
      </c>
      <c r="G69" s="30">
        <f>+'Dados do Setor'!F19/('Dados do Setor'!F19+'Dados do Setor'!F12)</f>
        <v>0.43993010048055919</v>
      </c>
      <c r="H69" s="30">
        <f>+'Dados do Setor'!G19/('Dados do Setor'!G19+'Dados do Setor'!G12)</f>
        <v>0.38307591907765937</v>
      </c>
    </row>
    <row r="70" spans="1:8" x14ac:dyDescent="0.3">
      <c r="A70" s="128"/>
      <c r="B70" s="128"/>
      <c r="C70" s="32" t="s">
        <v>461</v>
      </c>
      <c r="D70" s="84" t="e">
        <f>+D68/D69*100</f>
        <v>#DIV/0!</v>
      </c>
      <c r="E70" s="84">
        <f>+E68/E69*100</f>
        <v>23.106142479637292</v>
      </c>
      <c r="F70" s="84">
        <f>+F68/F69*100</f>
        <v>12.773624903013653</v>
      </c>
      <c r="G70" s="84">
        <f>+G68/G69*100</f>
        <v>41.78286928143703</v>
      </c>
      <c r="H70" s="84">
        <f>+H68/H69*100</f>
        <v>81.509752179306176</v>
      </c>
    </row>
    <row r="71" spans="1:8" x14ac:dyDescent="0.3">
      <c r="A71" s="129" t="s">
        <v>133</v>
      </c>
      <c r="B71" s="129"/>
      <c r="C71" s="129"/>
      <c r="D71" s="129"/>
      <c r="E71" s="129"/>
      <c r="F71" s="129"/>
      <c r="G71" s="129"/>
      <c r="H71" s="129"/>
    </row>
    <row r="72" spans="1:8" x14ac:dyDescent="0.3">
      <c r="A72" s="126" t="s">
        <v>134</v>
      </c>
      <c r="B72" s="126" t="s">
        <v>136</v>
      </c>
      <c r="C72" s="21" t="s">
        <v>138</v>
      </c>
      <c r="D72" s="22">
        <f>+('Demonstração de Resultados'!$C$26-'Demonstração de Resultados'!$C$30)/Balanço!$C$31</f>
        <v>4.888094574837322E-2</v>
      </c>
      <c r="E72" s="22">
        <f>+('Demonstração de Resultados'!D26-'Demonstração de Resultados'!D30)/Balanço!D31</f>
        <v>6.8153108599494347E-2</v>
      </c>
      <c r="F72" s="22">
        <f>+('Demonstração de Resultados'!E26-'Demonstração de Resultados'!E30)/Balanço!E31</f>
        <v>6.8476970515392158E-2</v>
      </c>
      <c r="G72" s="22">
        <f>+('Demonstração de Resultados'!F26-'Demonstração de Resultados'!F30)/Balanço!F31</f>
        <v>1.3231124137349412E-2</v>
      </c>
      <c r="H72" s="22">
        <f>+('Demonstração de Resultados'!G26-'Demonstração de Resultados'!G30)/Balanço!G31</f>
        <v>8.7012361096377583E-2</v>
      </c>
    </row>
    <row r="73" spans="1:8" x14ac:dyDescent="0.3">
      <c r="A73" s="127"/>
      <c r="B73" s="127"/>
      <c r="C73" s="31" t="s">
        <v>139</v>
      </c>
      <c r="D73" s="30" t="e">
        <f>+('Dados do Setor'!$C$24-'Dados do Setor'!$C$20)/'Dados do Setor'!$C$10</f>
        <v>#DIV/0!</v>
      </c>
      <c r="E73" s="30">
        <f>+('Dados do Setor'!D24-'Dados do Setor'!D20)/'Dados do Setor'!D10</f>
        <v>6.3954802259887006E-2</v>
      </c>
      <c r="F73" s="30">
        <f>+('Dados do Setor'!E24-'Dados do Setor'!E20)/'Dados do Setor'!E10</f>
        <v>1.7776124953514317E-2</v>
      </c>
      <c r="G73" s="30">
        <f>+('Dados do Setor'!F24-'Dados do Setor'!F20)/'Dados do Setor'!F10</f>
        <v>1.7830609212481426E-2</v>
      </c>
      <c r="H73" s="30">
        <f>+('Dados do Setor'!G24-'Dados do Setor'!G20)/'Dados do Setor'!G10</f>
        <v>7.9122807017543859E-2</v>
      </c>
    </row>
    <row r="74" spans="1:8" x14ac:dyDescent="0.3">
      <c r="A74" s="128"/>
      <c r="B74" s="128"/>
      <c r="C74" s="32" t="s">
        <v>461</v>
      </c>
      <c r="D74" s="84" t="e">
        <f>+D72/D73*100</f>
        <v>#DIV/0!</v>
      </c>
      <c r="E74" s="84">
        <f>+E72/E73*100</f>
        <v>106.56448959461571</v>
      </c>
      <c r="F74" s="84">
        <f>+F72/F73*100</f>
        <v>385.21877346420405</v>
      </c>
      <c r="G74" s="84">
        <f>+G72/G73*100</f>
        <v>74.204554536967962</v>
      </c>
      <c r="H74" s="84">
        <f>+H72/H73*100</f>
        <v>109.9712767736923</v>
      </c>
    </row>
    <row r="75" spans="1:8" x14ac:dyDescent="0.3">
      <c r="A75" s="126" t="s">
        <v>135</v>
      </c>
      <c r="B75" s="126" t="s">
        <v>137</v>
      </c>
      <c r="C75" s="21" t="s">
        <v>138</v>
      </c>
      <c r="D75" s="22">
        <f>+'Demonstração de Resultados'!$C$31/Balanço!$C$46</f>
        <v>6.8160768436231034E-2</v>
      </c>
      <c r="E75" s="22">
        <f>+'Demonstração de Resultados'!D31/Balanço!D46</f>
        <v>9.161377993512243E-2</v>
      </c>
      <c r="F75" s="22">
        <f>+'Demonstração de Resultados'!E31/Balanço!E46</f>
        <v>8.9216359825743677E-2</v>
      </c>
      <c r="G75" s="22">
        <f>+'Demonstração de Resultados'!F31/Balanço!F46</f>
        <v>2.3236841706566425E-2</v>
      </c>
      <c r="H75" s="22">
        <f>+'Demonstração de Resultados'!G31/Balanço!G46</f>
        <v>0.14800246248309576</v>
      </c>
    </row>
    <row r="76" spans="1:8" x14ac:dyDescent="0.3">
      <c r="A76" s="127"/>
      <c r="B76" s="127"/>
      <c r="C76" s="31" t="s">
        <v>139</v>
      </c>
      <c r="D76" s="30" t="e">
        <f>+'Dados do Setor'!$C$9/'Dados do Setor'!$C$12</f>
        <v>#DIV/0!</v>
      </c>
      <c r="E76" s="30">
        <f>+'Dados do Setor'!D9/'Dados do Setor'!D12</f>
        <v>0.1110062893081761</v>
      </c>
      <c r="F76" s="30">
        <f>+'Dados do Setor'!E9/'Dados do Setor'!E12</f>
        <v>1.7336485421591805E-2</v>
      </c>
      <c r="G76" s="30">
        <f>+'Dados do Setor'!F9/'Dados do Setor'!F12</f>
        <v>2.0202808112324493E-2</v>
      </c>
      <c r="H76" s="30">
        <f>+'Dados do Setor'!G9/'Dados do Setor'!G12</f>
        <v>0.14386459802538787</v>
      </c>
    </row>
    <row r="77" spans="1:8" x14ac:dyDescent="0.3">
      <c r="A77" s="128"/>
      <c r="B77" s="128"/>
      <c r="C77" s="32" t="s">
        <v>461</v>
      </c>
      <c r="D77" s="84" t="e">
        <f>+D75/D76*100</f>
        <v>#DIV/0!</v>
      </c>
      <c r="E77" s="84">
        <f>+E75/E76*100</f>
        <v>82.530260678098955</v>
      </c>
      <c r="F77" s="84">
        <f>+F75/F76*100</f>
        <v>514.61618463122147</v>
      </c>
      <c r="G77" s="84">
        <f>+G75/G76*100</f>
        <v>115.01788057072648</v>
      </c>
      <c r="H77" s="84">
        <f>+H75/H76*100</f>
        <v>102.87622147109303</v>
      </c>
    </row>
    <row r="83" spans="1:8" x14ac:dyDescent="0.3">
      <c r="A83" s="11" t="s">
        <v>91</v>
      </c>
      <c r="B83" s="11" t="s">
        <v>92</v>
      </c>
      <c r="C83" s="11" t="s">
        <v>140</v>
      </c>
      <c r="D83" s="1">
        <v>2017</v>
      </c>
      <c r="E83" s="1">
        <v>2018</v>
      </c>
      <c r="F83" s="1">
        <v>2019</v>
      </c>
      <c r="G83" s="1">
        <v>2020</v>
      </c>
      <c r="H83" s="1">
        <v>2021</v>
      </c>
    </row>
    <row r="84" spans="1:8" x14ac:dyDescent="0.3">
      <c r="A84" s="118" t="s">
        <v>102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26" t="s">
        <v>96</v>
      </c>
      <c r="B85" s="126" t="s">
        <v>97</v>
      </c>
      <c r="C85" s="21" t="s">
        <v>138</v>
      </c>
      <c r="D85" s="22">
        <f>+'Demonstração de Resultados'!C23/'Demonstração de Resultados'!C5</f>
        <v>8.4831708091884714E-2</v>
      </c>
      <c r="E85" s="22">
        <f>+'Demonstração de Resultados'!D23/'Demonstração de Resultados'!D5</f>
        <v>0.10916296336326162</v>
      </c>
      <c r="F85" s="22">
        <f>+'Demonstração de Resultados'!E23/'Demonstração de Resultados'!E5</f>
        <v>9.4553430696491886E-2</v>
      </c>
      <c r="G85" s="22">
        <f>+'Demonstração de Resultados'!F23/'Demonstração de Resultados'!F5</f>
        <v>5.3908954454453852E-2</v>
      </c>
      <c r="H85" s="22">
        <f>+'Demonstração de Resultados'!G23/'Demonstração de Resultados'!G5</f>
        <v>0.18201777115387138</v>
      </c>
    </row>
    <row r="86" spans="1:8" x14ac:dyDescent="0.3">
      <c r="A86" s="127"/>
      <c r="B86" s="127"/>
      <c r="C86" s="31" t="s">
        <v>139</v>
      </c>
      <c r="D86" s="30" t="e">
        <f>+'Dados do Setor'!C35/'Dados do Setor'!C34</f>
        <v>#DIV/0!</v>
      </c>
      <c r="E86" s="30">
        <f>+'Dados do Setor'!D35/'Dados do Setor'!D34</f>
        <v>7.983023443815683E-2</v>
      </c>
      <c r="F86" s="30">
        <f>+'Dados do Setor'!E35/'Dados do Setor'!E34</f>
        <v>7.9139880292618051E-2</v>
      </c>
      <c r="G86" s="30">
        <f>+'Dados do Setor'!F35/'Dados do Setor'!F34</f>
        <v>3.8461538461538464E-2</v>
      </c>
      <c r="H86" s="30">
        <f>+'Dados do Setor'!G35/'Dados do Setor'!G34</f>
        <v>9.4654788418708238E-2</v>
      </c>
    </row>
    <row r="87" spans="1:8" x14ac:dyDescent="0.3">
      <c r="A87" s="128"/>
      <c r="B87" s="128"/>
      <c r="C87" s="32" t="s">
        <v>461</v>
      </c>
      <c r="D87" s="84" t="e">
        <f>+D85/D86*100</f>
        <v>#DIV/0!</v>
      </c>
      <c r="E87" s="84">
        <f>+E85/E86*100</f>
        <v>136.74388423327051</v>
      </c>
      <c r="F87" s="84">
        <f>+F85/F86*100</f>
        <v>119.47633777923666</v>
      </c>
      <c r="G87" s="84">
        <f>+G85/G86*100</f>
        <v>140.16328158158001</v>
      </c>
      <c r="H87" s="84">
        <f>+H85/H86*100</f>
        <v>192.29642176020764</v>
      </c>
    </row>
    <row r="88" spans="1:8" x14ac:dyDescent="0.3">
      <c r="A88" s="126" t="s">
        <v>95</v>
      </c>
      <c r="B88" s="126" t="s">
        <v>98</v>
      </c>
      <c r="C88" s="21" t="s">
        <v>138</v>
      </c>
      <c r="D88" s="22">
        <f>+('Demonstração de Resultados'!C5-'Demonstração de Resultados'!C10)/'Demonstração de Resultados'!C5</f>
        <v>0.42098864618320297</v>
      </c>
      <c r="E88" s="22">
        <f>+('Demonstração de Resultados'!D5-'Demonstração de Resultados'!D10)/'Demonstração de Resultados'!D5</f>
        <v>0.38431359941972343</v>
      </c>
      <c r="F88" s="22">
        <f>+('Demonstração de Resultados'!E5-'Demonstração de Resultados'!E10)/'Demonstração de Resultados'!E5</f>
        <v>0.42194310318420136</v>
      </c>
      <c r="G88" s="22">
        <f>+('Demonstração de Resultados'!F5-'Demonstração de Resultados'!F10)/'Demonstração de Resultados'!F5</f>
        <v>0.40476953407076688</v>
      </c>
      <c r="H88" s="22">
        <f>+('Demonstração de Resultados'!G5-'Demonstração de Resultados'!G10)/'Demonstração de Resultados'!G5</f>
        <v>0.44951075206217089</v>
      </c>
    </row>
    <row r="89" spans="1:8" x14ac:dyDescent="0.3">
      <c r="A89" s="127"/>
      <c r="B89" s="127"/>
      <c r="C89" s="31" t="s">
        <v>139</v>
      </c>
      <c r="D89" s="30" t="e">
        <f>+('Dados do Setor'!C34-'Dados do Setor'!C36)/'Dados do Setor'!C34</f>
        <v>#DIV/0!</v>
      </c>
      <c r="E89" s="30">
        <f>+('Dados do Setor'!D34-'Dados do Setor'!D36)/'Dados do Setor'!D34</f>
        <v>0.26455133387227164</v>
      </c>
      <c r="F89" s="30">
        <f>+('Dados do Setor'!E34-'Dados do Setor'!E36)/'Dados do Setor'!E34</f>
        <v>0.29572156949678563</v>
      </c>
      <c r="G89" s="30">
        <f>+('Dados do Setor'!F34-'Dados do Setor'!F36)/'Dados do Setor'!F34</f>
        <v>0.25987525987525989</v>
      </c>
      <c r="H89" s="30">
        <f>+('Dados do Setor'!G34-'Dados do Setor'!G36)/'Dados do Setor'!G34</f>
        <v>0.27426026089723193</v>
      </c>
    </row>
    <row r="90" spans="1:8" x14ac:dyDescent="0.3">
      <c r="A90" s="128"/>
      <c r="B90" s="128"/>
      <c r="C90" s="32" t="s">
        <v>461</v>
      </c>
      <c r="D90" s="84" t="e">
        <f>+D88/D89*100</f>
        <v>#DIV/0!</v>
      </c>
      <c r="E90" s="84">
        <f>+E88/E89*100</f>
        <v>145.26995339410172</v>
      </c>
      <c r="F90" s="84">
        <f>+F88/F89*100</f>
        <v>142.68255910524229</v>
      </c>
      <c r="G90" s="84">
        <f>+G88/G89*100</f>
        <v>155.75531671043109</v>
      </c>
      <c r="H90" s="84">
        <f>+H88/H89*100</f>
        <v>163.89933801988437</v>
      </c>
    </row>
    <row r="91" spans="1:8" x14ac:dyDescent="0.3">
      <c r="A91" s="126" t="s">
        <v>99</v>
      </c>
      <c r="B91" s="126" t="s">
        <v>100</v>
      </c>
      <c r="C91" s="21" t="s">
        <v>138</v>
      </c>
      <c r="D91" s="22">
        <f>+'Demonstração de Resultados'!C31/'Demonstração de Resultados'!C5</f>
        <v>4.4651377108608711E-2</v>
      </c>
      <c r="E91" s="22">
        <f>+'Demonstração de Resultados'!D31/'Demonstração de Resultados'!D5</f>
        <v>7.0914748862189417E-2</v>
      </c>
      <c r="F91" s="22">
        <f>+'Demonstração de Resultados'!E31/'Demonstração de Resultados'!E5</f>
        <v>6.8964427259887051E-2</v>
      </c>
      <c r="G91" s="22">
        <f>+'Demonstração de Resultados'!F31/'Demonstração de Resultados'!F5</f>
        <v>2.0072413721197713E-2</v>
      </c>
      <c r="H91" s="22">
        <f>+'Demonstração de Resultados'!G31/'Demonstração de Resultados'!G5</f>
        <v>9.9366762966935196E-2</v>
      </c>
    </row>
    <row r="92" spans="1:8" x14ac:dyDescent="0.3">
      <c r="A92" s="127"/>
      <c r="B92" s="127"/>
      <c r="C92" s="31" t="s">
        <v>139</v>
      </c>
      <c r="D92" s="30" t="e">
        <f>+'Dados do Setor'!C39/'Dados do Setor'!C34</f>
        <v>#DIV/0!</v>
      </c>
      <c r="E92" s="30">
        <f>+'Dados do Setor'!D9/'Dados do Setor'!D4</f>
        <v>4.1799881586737718E-2</v>
      </c>
      <c r="F92" s="30">
        <f>+'Dados do Setor'!E39/'Dados do Setor'!E34</f>
        <v>3.2365329195300378E-2</v>
      </c>
      <c r="G92" s="30">
        <f>+'Dados do Setor'!F9/'Dados do Setor'!F4</f>
        <v>1.0265556876734047E-2</v>
      </c>
      <c r="H92" s="30">
        <f>+'Dados do Setor'!G39/'Dados do Setor'!G34</f>
        <v>5.3452115812917596E-2</v>
      </c>
    </row>
    <row r="93" spans="1:8" x14ac:dyDescent="0.3">
      <c r="A93" s="128"/>
      <c r="B93" s="128"/>
      <c r="C93" s="32" t="s">
        <v>461</v>
      </c>
      <c r="D93" s="84" t="e">
        <f>+D91/D92*100</f>
        <v>#DIV/0!</v>
      </c>
      <c r="E93" s="84">
        <f>+E91/E92*100</f>
        <v>169.65298984169678</v>
      </c>
      <c r="F93" s="84">
        <f>+F91/F92*100</f>
        <v>213.08118586941816</v>
      </c>
      <c r="G93" s="84">
        <f>+G91/G92*100</f>
        <v>195.53165953120399</v>
      </c>
      <c r="H93" s="84">
        <f>+H91/H92*100</f>
        <v>185.89865238397459</v>
      </c>
    </row>
    <row r="94" spans="1:8" x14ac:dyDescent="0.3">
      <c r="A94" s="126" t="s">
        <v>90</v>
      </c>
      <c r="B94" s="126" t="s">
        <v>93</v>
      </c>
      <c r="C94" s="21" t="s">
        <v>138</v>
      </c>
      <c r="D94" s="22">
        <f>+'Demonstração de Resultados'!C36/'Demonstração de Resultados'!C35</f>
        <v>0.33498891945565801</v>
      </c>
      <c r="E94" s="22">
        <f>+'Demonstração de Resultados'!D36/'Demonstração de Resultados'!D35</f>
        <v>0.3112095886348043</v>
      </c>
      <c r="F94" s="22">
        <f>+'Demonstração de Resultados'!E36/'Demonstração de Resultados'!E35</f>
        <v>0.32109557003397066</v>
      </c>
      <c r="G94" s="22">
        <f>+'Demonstração de Resultados'!F36/'Demonstração de Resultados'!F35</f>
        <v>0.28613804815694566</v>
      </c>
      <c r="H94" s="22">
        <f>+'Demonstração de Resultados'!G36/'Demonstração de Resultados'!G35</f>
        <v>0.37059793923453527</v>
      </c>
    </row>
    <row r="95" spans="1:8" x14ac:dyDescent="0.3">
      <c r="A95" s="127"/>
      <c r="B95" s="127"/>
      <c r="C95" s="31" t="s">
        <v>139</v>
      </c>
      <c r="D95" s="37" t="e">
        <f>+'Dados do Setor'!C51</f>
        <v>#VALUE!</v>
      </c>
      <c r="E95" s="37" t="e">
        <f>+'Dados do Setor'!D51</f>
        <v>#VALUE!</v>
      </c>
      <c r="F95" s="37" t="e">
        <f>+'Dados do Setor'!E51</f>
        <v>#VALUE!</v>
      </c>
      <c r="G95" s="37" t="e">
        <f>+'Dados do Setor'!F51</f>
        <v>#VALUE!</v>
      </c>
      <c r="H95" s="37" t="e">
        <f>+'Dados do Setor'!G51</f>
        <v>#VALUE!</v>
      </c>
    </row>
    <row r="96" spans="1:8" x14ac:dyDescent="0.3">
      <c r="A96" s="128"/>
      <c r="B96" s="128"/>
      <c r="C96" s="32" t="s">
        <v>461</v>
      </c>
      <c r="D96" s="84" t="e">
        <f>+D94/D95*100</f>
        <v>#VALUE!</v>
      </c>
      <c r="E96" s="84" t="e">
        <f>+E94/E95*100</f>
        <v>#VALUE!</v>
      </c>
      <c r="F96" s="84" t="e">
        <f>+F94/F95*100</f>
        <v>#VALUE!</v>
      </c>
      <c r="G96" s="84" t="e">
        <f>+G94/G95*100</f>
        <v>#VALUE!</v>
      </c>
      <c r="H96" s="84" t="e">
        <f>+H94/H95*100</f>
        <v>#VALUE!</v>
      </c>
    </row>
    <row r="97" spans="1:11" x14ac:dyDescent="0.3">
      <c r="A97" s="126" t="s">
        <v>103</v>
      </c>
      <c r="B97" s="126" t="s">
        <v>104</v>
      </c>
      <c r="C97" s="21" t="s">
        <v>138</v>
      </c>
      <c r="D97" s="22">
        <f>+'Demonstração de Resultados'!C31/Balanço!C31</f>
        <v>4.694698603858901E-2</v>
      </c>
      <c r="E97" s="22">
        <f>+'Demonstração de Resultados'!D31/Balanço!D31</f>
        <v>6.6916432358693365E-2</v>
      </c>
      <c r="F97" s="22">
        <f>+'Demonstração de Resultados'!E31/Balanço!E31</f>
        <v>6.7738547517142464E-2</v>
      </c>
      <c r="G97" s="22">
        <f>+'Demonstração de Resultados'!F31/Balanço!F31</f>
        <v>1.3018180321032963E-2</v>
      </c>
      <c r="H97" s="22">
        <f>+'Demonstração de Resultados'!G31/Balanço!G31</f>
        <v>8.561181386526856E-2</v>
      </c>
    </row>
    <row r="98" spans="1:11" x14ac:dyDescent="0.3">
      <c r="A98" s="127"/>
      <c r="B98" s="127"/>
      <c r="C98" s="31" t="s">
        <v>139</v>
      </c>
      <c r="D98" s="30" t="e">
        <f>+'Dados do Setor'!C39/'Dados do Setor'!C40</f>
        <v>#DIV/0!</v>
      </c>
      <c r="E98" s="30">
        <f>+'Dados do Setor'!D39/'Dados do Setor'!D40</f>
        <v>4.1897233201581029E-2</v>
      </c>
      <c r="F98" s="30">
        <f>+'Dados do Setor'!E39/'Dados do Setor'!E40</f>
        <v>3.2942238267148018E-2</v>
      </c>
      <c r="G98" s="30">
        <f>+'Dados do Setor'!F39/'Dados do Setor'!F40</f>
        <v>-8.7597053553653201E-3</v>
      </c>
      <c r="H98" s="30">
        <f>+'Dados do Setor'!G39/'Dados do Setor'!G40</f>
        <v>7.0043777360850532E-2</v>
      </c>
      <c r="K98" s="57"/>
    </row>
    <row r="99" spans="1:11" x14ac:dyDescent="0.3">
      <c r="A99" s="128"/>
      <c r="B99" s="128"/>
      <c r="C99" s="32" t="s">
        <v>461</v>
      </c>
      <c r="D99" s="84" t="e">
        <f>+D97/D98*100</f>
        <v>#DIV/0!</v>
      </c>
      <c r="E99" s="84">
        <f>+E97/E98*100</f>
        <v>159.71563572405114</v>
      </c>
      <c r="F99" s="84">
        <f>+F97/F98*100</f>
        <v>205.6282483534078</v>
      </c>
      <c r="G99" s="84">
        <f>+G97/G98*100</f>
        <v>-148.61436307397403</v>
      </c>
      <c r="H99" s="84">
        <f>+H97/H98*100</f>
        <v>122.22615211657539</v>
      </c>
      <c r="K99" s="57"/>
    </row>
    <row r="100" spans="1:11" x14ac:dyDescent="0.3">
      <c r="A100" s="117" t="s">
        <v>161</v>
      </c>
      <c r="B100" s="117"/>
      <c r="C100" s="117"/>
      <c r="D100" s="117"/>
      <c r="E100" s="117"/>
      <c r="F100" s="117"/>
      <c r="G100" s="117"/>
      <c r="H100" s="117"/>
      <c r="K100" s="57"/>
    </row>
    <row r="101" spans="1:11" x14ac:dyDescent="0.3">
      <c r="A101" s="126" t="s">
        <v>101</v>
      </c>
      <c r="B101" s="126" t="s">
        <v>106</v>
      </c>
      <c r="C101" s="21" t="s">
        <v>138</v>
      </c>
      <c r="D101" s="22">
        <f>+'Demonstração de Resultados'!C5/Balanço!C31</f>
        <v>1.0514118282264067</v>
      </c>
      <c r="E101" s="22">
        <f>+'Demonstração de Resultados'!D5/Balanço!D31</f>
        <v>0.94361798402098129</v>
      </c>
      <c r="F101" s="22">
        <f>+'Demonstração de Resultados'!E5/Balanço!E31</f>
        <v>0.98222446279260833</v>
      </c>
      <c r="G101" s="22">
        <f>+'Demonstração de Resultados'!F5/Balanço!F31</f>
        <v>0.64856078107262993</v>
      </c>
      <c r="H101" s="22">
        <f>+'Demonstração de Resultados'!G5/Balanço!G31</f>
        <v>0.86157394393290576</v>
      </c>
      <c r="K101" s="57"/>
    </row>
    <row r="102" spans="1:11" x14ac:dyDescent="0.3">
      <c r="A102" s="127"/>
      <c r="B102" s="127"/>
      <c r="C102" s="31" t="s">
        <v>139</v>
      </c>
      <c r="D102" s="30" t="e">
        <f>+'Dados do Setor'!C34/'Dados do Setor'!C40</f>
        <v>#DIV/0!</v>
      </c>
      <c r="E102" s="30">
        <f>+'Dados do Setor'!D34/'Dados do Setor'!D40</f>
        <v>1.3038208168642951</v>
      </c>
      <c r="F102" s="30">
        <f>+'Dados do Setor'!E34/'Dados do Setor'!E40</f>
        <v>1.0178249097472925</v>
      </c>
      <c r="G102" s="30">
        <f>+'Dados do Setor'!F34/'Dados do Setor'!F40</f>
        <v>0.95759506271152695</v>
      </c>
      <c r="H102" s="30">
        <f>+'Dados do Setor'!G34/'Dados do Setor'!G40</f>
        <v>1.3104023347925786</v>
      </c>
      <c r="K102" s="57"/>
    </row>
    <row r="103" spans="1:11" x14ac:dyDescent="0.3">
      <c r="A103" s="128"/>
      <c r="B103" s="128"/>
      <c r="C103" s="32" t="s">
        <v>461</v>
      </c>
      <c r="D103" s="84" t="e">
        <f>+D101/D102*100</f>
        <v>#DIV/0!</v>
      </c>
      <c r="E103" s="84">
        <f>+E101/E102*100</f>
        <v>72.373287173800009</v>
      </c>
      <c r="F103" s="84">
        <f>+F101/F102*100</f>
        <v>96.502301465236968</v>
      </c>
      <c r="G103" s="84">
        <f>+G101/G102*100</f>
        <v>67.728083229268606</v>
      </c>
      <c r="H103" s="84">
        <f>+H101/H102*100</f>
        <v>65.748810197997926</v>
      </c>
      <c r="K103" s="57"/>
    </row>
    <row r="104" spans="1:11" x14ac:dyDescent="0.3">
      <c r="A104" s="126" t="s">
        <v>109</v>
      </c>
      <c r="B104" s="126" t="s">
        <v>107</v>
      </c>
      <c r="C104" s="21" t="s">
        <v>138</v>
      </c>
      <c r="D104" s="22">
        <f>+'Demonstração de Resultados'!C12/'Demonstração de Resultados'!C5</f>
        <v>0.23302754026037881</v>
      </c>
      <c r="E104" s="22">
        <f>+'Demonstração de Resultados'!D12/'Demonstração de Resultados'!D5</f>
        <v>0.23905654424290027</v>
      </c>
      <c r="F104" s="22">
        <f>+'Demonstração de Resultados'!E12/'Demonstração de Resultados'!E5</f>
        <v>0.22054066073336789</v>
      </c>
      <c r="G104" s="22">
        <f>+'Demonstração de Resultados'!F12/'Demonstração de Resultados'!F5</f>
        <v>0.2344247476391596</v>
      </c>
      <c r="H104" s="22">
        <f>+'Demonstração de Resultados'!G12/'Demonstração de Resultados'!G5</f>
        <v>0.20130980104280588</v>
      </c>
      <c r="K104" s="57"/>
    </row>
    <row r="105" spans="1:11" x14ac:dyDescent="0.3">
      <c r="A105" s="127"/>
      <c r="B105" s="127"/>
      <c r="C105" s="31" t="s">
        <v>139</v>
      </c>
      <c r="D105" s="30" t="e">
        <f>+'Dados do Setor'!C37/'Dados do Setor'!C34</f>
        <v>#DIV/0!</v>
      </c>
      <c r="E105" s="30">
        <f>+'Dados do Setor'!D37/'Dados do Setor'!D34</f>
        <v>8.3468067906224741E-2</v>
      </c>
      <c r="F105" s="30">
        <f>+'Dados do Setor'!E37/'Dados do Setor'!E34</f>
        <v>0.1110618488140102</v>
      </c>
      <c r="G105" s="30">
        <f>+'Dados do Setor'!F37/'Dados do Setor'!F34</f>
        <v>0.1</v>
      </c>
      <c r="H105" s="30">
        <f>+'Dados do Setor'!G37/'Dados do Setor'!G34</f>
        <v>7.4610244988864149E-2</v>
      </c>
      <c r="K105" s="57"/>
    </row>
    <row r="106" spans="1:11" x14ac:dyDescent="0.3">
      <c r="A106" s="128"/>
      <c r="B106" s="128"/>
      <c r="C106" s="32" t="s">
        <v>461</v>
      </c>
      <c r="D106" s="84" t="e">
        <f>+D104/D105*100</f>
        <v>#DIV/0!</v>
      </c>
      <c r="E106" s="84">
        <f>+E104/E105*100</f>
        <v>286.4047895675231</v>
      </c>
      <c r="F106" s="84">
        <f>+F104/F105*100</f>
        <v>198.5746348439566</v>
      </c>
      <c r="G106" s="84">
        <f>+G104/G105*100</f>
        <v>234.42474763915956</v>
      </c>
      <c r="H106" s="84">
        <f>+H104/H105*100</f>
        <v>269.81522587528303</v>
      </c>
      <c r="K106" s="57"/>
    </row>
    <row r="107" spans="1:11" x14ac:dyDescent="0.3">
      <c r="A107" s="126" t="s">
        <v>110</v>
      </c>
      <c r="B107" s="126" t="s">
        <v>108</v>
      </c>
      <c r="C107" s="21" t="s">
        <v>138</v>
      </c>
      <c r="D107" s="22">
        <f>+'Demonstração de Resultados'!C11/'Demonstração de Resultados'!C5</f>
        <v>8.6147442214230194E-2</v>
      </c>
      <c r="E107" s="22">
        <f>+'Demonstração de Resultados'!D11/'Demonstração de Resultados'!D5</f>
        <v>8.7179918050274086E-2</v>
      </c>
      <c r="F107" s="22">
        <f>+'Demonstração de Resultados'!E11/'Demonstração de Resultados'!E5</f>
        <v>9.2108303554561219E-2</v>
      </c>
      <c r="G107" s="22">
        <f>+'Demonstração de Resultados'!F11/'Demonstração de Resultados'!F5</f>
        <v>0.12904371320848471</v>
      </c>
      <c r="H107" s="22">
        <f>+'Demonstração de Resultados'!G11/'Demonstração de Resultados'!G5</f>
        <v>9.99016672698885E-2</v>
      </c>
      <c r="K107" s="57"/>
    </row>
    <row r="108" spans="1:11" x14ac:dyDescent="0.3">
      <c r="A108" s="127"/>
      <c r="B108" s="127"/>
      <c r="C108" s="31" t="s">
        <v>139</v>
      </c>
      <c r="D108" s="30" t="e">
        <f>+'Dados do Setor'!C38/'Dados do Setor'!C34</f>
        <v>#DIV/0!</v>
      </c>
      <c r="E108" s="30">
        <f>+'Dados do Setor'!D38/'Dados do Setor'!D34</f>
        <v>0.11196443007275667</v>
      </c>
      <c r="F108" s="30">
        <f>+'Dados do Setor'!E38/'Dados do Setor'!E34</f>
        <v>0.11948570161826647</v>
      </c>
      <c r="G108" s="30">
        <f>+'Dados do Setor'!F38/'Dados do Setor'!F34</f>
        <v>0.11538461538461539</v>
      </c>
      <c r="H108" s="30">
        <f>+'Dados do Setor'!G38/'Dados do Setor'!G34</f>
        <v>0.10308622335348393</v>
      </c>
      <c r="K108" s="57"/>
    </row>
    <row r="109" spans="1:11" x14ac:dyDescent="0.3">
      <c r="A109" s="128"/>
      <c r="B109" s="128"/>
      <c r="C109" s="32" t="s">
        <v>461</v>
      </c>
      <c r="D109" s="84" t="e">
        <f>+D107/D108*100</f>
        <v>#DIV/0!</v>
      </c>
      <c r="E109" s="84">
        <f>+E107/E108*100</f>
        <v>77.863941247789924</v>
      </c>
      <c r="F109" s="84">
        <f>+F107/F108*100</f>
        <v>77.08730191737024</v>
      </c>
      <c r="G109" s="84">
        <f>+G107/G108*100</f>
        <v>111.83788478068675</v>
      </c>
      <c r="H109" s="84">
        <f>+H107/H108*100</f>
        <v>96.910784021376401</v>
      </c>
      <c r="K109" s="57"/>
    </row>
    <row r="110" spans="1:11" x14ac:dyDescent="0.3">
      <c r="A110" s="126" t="s">
        <v>112</v>
      </c>
      <c r="B110" s="126" t="s">
        <v>113</v>
      </c>
      <c r="C110" s="21" t="s">
        <v>138</v>
      </c>
      <c r="D110" s="22">
        <f>+'Demonstração de Resultados'!C10/'Demonstração de Resultados'!C5</f>
        <v>0.57901135381679703</v>
      </c>
      <c r="E110" s="22">
        <f>+'Demonstração de Resultados'!D10/'Demonstração de Resultados'!D5</f>
        <v>0.61568640058027657</v>
      </c>
      <c r="F110" s="22">
        <f>+'Demonstração de Resultados'!E10/'Demonstração de Resultados'!E5</f>
        <v>0.57805689681579864</v>
      </c>
      <c r="G110" s="22">
        <f>+'Demonstração de Resultados'!F10/'Demonstração de Resultados'!F5</f>
        <v>0.59523046592923312</v>
      </c>
      <c r="H110" s="22">
        <f>+'Demonstração de Resultados'!G10/'Demonstração de Resultados'!G5</f>
        <v>0.55048924793782905</v>
      </c>
      <c r="K110" s="57"/>
    </row>
    <row r="111" spans="1:11" x14ac:dyDescent="0.3">
      <c r="A111" s="127"/>
      <c r="B111" s="127"/>
      <c r="C111" s="31" t="s">
        <v>139</v>
      </c>
      <c r="D111" s="30" t="e">
        <f>+'Dados do Setor'!C36/'Dados do Setor'!C34</f>
        <v>#DIV/0!</v>
      </c>
      <c r="E111" s="30">
        <f>+'Dados do Setor'!D36/'Dados do Setor'!D34</f>
        <v>0.73544866612772841</v>
      </c>
      <c r="F111" s="30">
        <f>+'Dados do Setor'!E36/'Dados do Setor'!E34</f>
        <v>0.70427843050321437</v>
      </c>
      <c r="G111" s="30">
        <f>+'Dados do Setor'!F36/'Dados do Setor'!F34</f>
        <v>0.74012474012474017</v>
      </c>
      <c r="H111" s="30">
        <f>+'Dados do Setor'!G36/'Dados do Setor'!G34</f>
        <v>0.72573973910276801</v>
      </c>
      <c r="K111" s="57"/>
    </row>
    <row r="112" spans="1:11" x14ac:dyDescent="0.3">
      <c r="A112" s="128"/>
      <c r="B112" s="128"/>
      <c r="C112" s="32" t="s">
        <v>461</v>
      </c>
      <c r="D112" s="84" t="e">
        <f>+D110/D111*100</f>
        <v>#DIV/0!</v>
      </c>
      <c r="E112" s="84">
        <f>+E110/E111*100</f>
        <v>83.715754604869701</v>
      </c>
      <c r="F112" s="84">
        <f>+F110/F111*100</f>
        <v>82.077893029149124</v>
      </c>
      <c r="G112" s="84">
        <f>+G110/G111*100</f>
        <v>80.422992728078967</v>
      </c>
      <c r="H112" s="84">
        <f>+H110/H111*100</f>
        <v>75.852157223524628</v>
      </c>
      <c r="K112" s="57"/>
    </row>
    <row r="113" spans="1:8" x14ac:dyDescent="0.3">
      <c r="A113" s="126" t="s">
        <v>111</v>
      </c>
      <c r="B113" s="126" t="s">
        <v>105</v>
      </c>
      <c r="C113" s="21" t="s">
        <v>138</v>
      </c>
      <c r="D113" s="22">
        <f>+('Demonstração de Resultados'!C10+'Demonstração de Resultados'!C11+'Demonstração de Resultados'!C12)/'Demonstração de Resultados'!C5</f>
        <v>0.8981863362914061</v>
      </c>
      <c r="E113" s="22">
        <f>+('Demonstração de Resultados'!D10+'Demonstração de Resultados'!D11+'Demonstração de Resultados'!D12)/'Demonstração de Resultados'!D5</f>
        <v>0.94192286287345095</v>
      </c>
      <c r="F113" s="22">
        <f>+('Demonstração de Resultados'!E10+'Demonstração de Resultados'!E11+'Demonstração de Resultados'!E12)/'Demonstração de Resultados'!E5</f>
        <v>0.89070586110372774</v>
      </c>
      <c r="G113" s="22">
        <f>+('Demonstração de Resultados'!F10+'Demonstração de Resultados'!F11+'Demonstração de Resultados'!F12)/'Demonstração de Resultados'!F5</f>
        <v>0.95869892677687751</v>
      </c>
      <c r="H113" s="22">
        <f>+('Demonstração de Resultados'!G10+'Demonstração de Resultados'!G11+'Demonstração de Resultados'!G12)/'Demonstração de Resultados'!G5</f>
        <v>0.85170071625052346</v>
      </c>
    </row>
    <row r="114" spans="1:8" x14ac:dyDescent="0.3">
      <c r="A114" s="127"/>
      <c r="B114" s="127"/>
      <c r="C114" s="31" t="s">
        <v>139</v>
      </c>
      <c r="D114" s="30" t="e">
        <f>+('Dados do Setor'!C36+'Dados do Setor'!C37+'Dados do Setor'!C38)/'Dados do Setor'!C34</f>
        <v>#DIV/0!</v>
      </c>
      <c r="E114" s="30">
        <f>+('Dados do Setor'!D36+'Dados do Setor'!D37+'Dados do Setor'!D38)/'Dados do Setor'!D34</f>
        <v>0.93088116410670974</v>
      </c>
      <c r="F114" s="30">
        <f>+('Dados do Setor'!E36+'Dados do Setor'!E37+'Dados do Setor'!E38)/'Dados do Setor'!E34</f>
        <v>0.93482598093549107</v>
      </c>
      <c r="G114" s="30">
        <f>+('Dados do Setor'!F36+'Dados do Setor'!F37+'Dados do Setor'!F38)/'Dados do Setor'!F34</f>
        <v>0.95550935550935556</v>
      </c>
      <c r="H114" s="30">
        <f>+('Dados do Setor'!G36+'Dados do Setor'!G37+'Dados do Setor'!G38)/'Dados do Setor'!G34</f>
        <v>0.9034362074451161</v>
      </c>
    </row>
    <row r="115" spans="1:8" x14ac:dyDescent="0.3">
      <c r="A115" s="128"/>
      <c r="B115" s="128"/>
      <c r="C115" s="32" t="s">
        <v>461</v>
      </c>
      <c r="D115" s="84" t="e">
        <f>+D113/D114*100</f>
        <v>#DIV/0!</v>
      </c>
      <c r="E115" s="84">
        <f>+E113/E114*100</f>
        <v>101.18615556877629</v>
      </c>
      <c r="F115" s="84">
        <f>+F113/F114*100</f>
        <v>95.280392208653439</v>
      </c>
      <c r="G115" s="84">
        <f>+G113/G114*100</f>
        <v>100.33380848121803</v>
      </c>
      <c r="H115" s="84">
        <f>+H113/H114*100</f>
        <v>94.273476005472631</v>
      </c>
    </row>
    <row r="116" spans="1:8" x14ac:dyDescent="0.3">
      <c r="A116" s="126" t="s">
        <v>114</v>
      </c>
      <c r="B116" s="126" t="s">
        <v>116</v>
      </c>
      <c r="C116" s="21" t="s">
        <v>138</v>
      </c>
      <c r="D116" s="29">
        <f>+(Balanço!C55/(('Demonstração de Resultados'!C10+'Demonstração de Resultados'!C11)*1.23))*365</f>
        <v>64.441929962468592</v>
      </c>
      <c r="E116" s="29">
        <f>+(Balanço!D55/(('Demonstração de Resultados'!D10+'Demonstração de Resultados'!D11)*1.23))*365</f>
        <v>53.528273552540981</v>
      </c>
      <c r="F116" s="29">
        <f>+(Balanço!E55/(('Demonstração de Resultados'!E10+'Demonstração de Resultados'!E11)*1.23))*365</f>
        <v>41.743900420711832</v>
      </c>
      <c r="G116" s="29">
        <f>+(Balanço!F55/(('Demonstração de Resultados'!F10+'Demonstração de Resultados'!F11)*1.23))*365</f>
        <v>83.322624516067137</v>
      </c>
      <c r="H116" s="29">
        <f>+(Balanço!G55/(('Demonstração de Resultados'!G10+'Demonstração de Resultados'!G11)*1.23))*365</f>
        <v>54.06430636326192</v>
      </c>
    </row>
    <row r="117" spans="1:8" x14ac:dyDescent="0.3">
      <c r="A117" s="127"/>
      <c r="B117" s="127"/>
      <c r="C117" s="31" t="s">
        <v>139</v>
      </c>
      <c r="D117" s="33">
        <f>+'Dados do Setor'!C52</f>
        <v>0</v>
      </c>
      <c r="E117" s="33">
        <f>+'Dados do Setor'!D52</f>
        <v>36</v>
      </c>
      <c r="F117" s="33">
        <f>+'Dados do Setor'!E52</f>
        <v>68</v>
      </c>
      <c r="G117" s="33">
        <f>+'Dados do Setor'!F52</f>
        <v>65</v>
      </c>
      <c r="H117" s="33">
        <f>+'Dados do Setor'!G52</f>
        <v>44</v>
      </c>
    </row>
    <row r="118" spans="1:8" x14ac:dyDescent="0.3">
      <c r="A118" s="128"/>
      <c r="B118" s="128"/>
      <c r="C118" s="32" t="s">
        <v>461</v>
      </c>
      <c r="D118" s="34" t="e">
        <f>+D116/D117*100</f>
        <v>#DIV/0!</v>
      </c>
      <c r="E118" s="34">
        <f>+E116/E117*100</f>
        <v>148.68964875705828</v>
      </c>
      <c r="F118" s="34">
        <f>+F116/F117*100</f>
        <v>61.388088853987988</v>
      </c>
      <c r="G118" s="34">
        <f>+G116/G117*100</f>
        <v>128.18865310164176</v>
      </c>
      <c r="H118" s="34">
        <f>+H116/H117*100</f>
        <v>122.873423552868</v>
      </c>
    </row>
    <row r="119" spans="1:8" x14ac:dyDescent="0.3">
      <c r="A119" s="126" t="s">
        <v>115</v>
      </c>
      <c r="B119" s="126" t="s">
        <v>117</v>
      </c>
      <c r="C119" s="21" t="s">
        <v>138</v>
      </c>
      <c r="D119" s="29">
        <f>+(Balanço!C20/('Demonstração de Resultados'!C5*1.23))*365</f>
        <v>54.73664247762698</v>
      </c>
      <c r="E119" s="29">
        <f>+(Balanço!D20/('Demonstração de Resultados'!D5*1.23))*365</f>
        <v>40.050145350812791</v>
      </c>
      <c r="F119" s="29">
        <f>+(Balanço!E20/('Demonstração de Resultados'!E5*1.23))*365</f>
        <v>52.354435125686585</v>
      </c>
      <c r="G119" s="29">
        <f>+(Balanço!F20/('Demonstração de Resultados'!F5*1.23))*365</f>
        <v>65.047193907417494</v>
      </c>
      <c r="H119" s="29">
        <f>+(Balanço!G20/('Demonstração de Resultados'!G5*1.23))*365</f>
        <v>58.301957775141851</v>
      </c>
    </row>
    <row r="120" spans="1:8" x14ac:dyDescent="0.3">
      <c r="A120" s="127"/>
      <c r="B120" s="127"/>
      <c r="C120" s="31" t="s">
        <v>139</v>
      </c>
      <c r="D120" s="33">
        <f>+'Dados do Setor'!C53</f>
        <v>0</v>
      </c>
      <c r="E120" s="33">
        <f>+'Dados do Setor'!D53</f>
        <v>30</v>
      </c>
      <c r="F120" s="33">
        <f>+'Dados do Setor'!E53</f>
        <v>50</v>
      </c>
      <c r="G120" s="33">
        <f>+'Dados do Setor'!F53</f>
        <v>32</v>
      </c>
      <c r="H120" s="33">
        <f>+'Dados do Setor'!G53</f>
        <v>26</v>
      </c>
    </row>
    <row r="121" spans="1:8" x14ac:dyDescent="0.3">
      <c r="A121" s="128"/>
      <c r="B121" s="128"/>
      <c r="C121" s="32" t="s">
        <v>461</v>
      </c>
      <c r="D121" s="34" t="e">
        <f>+D119/D120*100</f>
        <v>#DIV/0!</v>
      </c>
      <c r="E121" s="34">
        <f>+E119/E120*100</f>
        <v>133.5004845027093</v>
      </c>
      <c r="F121" s="34">
        <f>+F119/F120*100</f>
        <v>104.70887025137317</v>
      </c>
      <c r="G121" s="34">
        <f>+G119/G120*100</f>
        <v>203.27248096067967</v>
      </c>
      <c r="H121" s="34">
        <f>+H119/H120*100</f>
        <v>224.23829913516099</v>
      </c>
    </row>
    <row r="122" spans="1:8" x14ac:dyDescent="0.3">
      <c r="A122" s="126" t="s">
        <v>456</v>
      </c>
      <c r="B122" s="126" t="s">
        <v>457</v>
      </c>
      <c r="C122" s="21" t="s">
        <v>138</v>
      </c>
      <c r="D122" s="35">
        <f>+'Demonstração de Resultados'!C36/'Demonstração de Resultados'!C37</f>
        <v>21367.446712328761</v>
      </c>
      <c r="E122" s="35">
        <f>+'Demonstração de Resultados'!D36/'Demonstração de Resultados'!D37</f>
        <v>19676.290928571427</v>
      </c>
      <c r="F122" s="35">
        <f>+'Demonstração de Resultados'!E36/'Demonstração de Resultados'!E37</f>
        <v>23802.161417322819</v>
      </c>
      <c r="G122" s="35">
        <f>+'Demonstração de Resultados'!F36/'Demonstração de Resultados'!F37</f>
        <v>19537.261481481481</v>
      </c>
      <c r="H122" s="35">
        <f>+'Demonstração de Resultados'!G36/'Demonstração de Resultados'!G37</f>
        <v>32899.731073825518</v>
      </c>
    </row>
    <row r="123" spans="1:8" x14ac:dyDescent="0.3">
      <c r="A123" s="127"/>
      <c r="B123" s="127"/>
      <c r="C123" s="31" t="s">
        <v>139</v>
      </c>
      <c r="D123" s="68" t="e">
        <f>'Dados do Setor'!C56/'Dados do Setor'!C55</f>
        <v>#DIV/0!</v>
      </c>
      <c r="E123" s="68">
        <f>'Dados do Setor'!D56/'Dados do Setor'!D55</f>
        <v>25000</v>
      </c>
      <c r="F123" s="68">
        <f>'Dados do Setor'!E56/'Dados do Setor'!E55</f>
        <v>25166.666666666668</v>
      </c>
      <c r="G123" s="68">
        <f>'Dados do Setor'!F56/'Dados do Setor'!F55</f>
        <v>23233.333333333332</v>
      </c>
      <c r="H123" s="68">
        <f>'Dados do Setor'!G56/'Dados do Setor'!G55</f>
        <v>33366.666666666664</v>
      </c>
    </row>
    <row r="124" spans="1:8" x14ac:dyDescent="0.3">
      <c r="A124" s="128"/>
      <c r="B124" s="128"/>
      <c r="C124" s="32" t="s">
        <v>461</v>
      </c>
      <c r="D124" s="84" t="e">
        <f>+D122/D123*100</f>
        <v>#DIV/0!</v>
      </c>
      <c r="E124" s="84">
        <f>+E122/E123*100</f>
        <v>78.705163714285703</v>
      </c>
      <c r="F124" s="84">
        <f>+F122/F123*100</f>
        <v>94.578124837044314</v>
      </c>
      <c r="G124" s="84">
        <f>+G122/G123*100</f>
        <v>84.091512832775379</v>
      </c>
      <c r="H124" s="84">
        <f>+H122/H123*100</f>
        <v>98.600592628847721</v>
      </c>
    </row>
    <row r="125" spans="1:8" x14ac:dyDescent="0.3">
      <c r="A125" s="126" t="s">
        <v>454</v>
      </c>
      <c r="B125" s="126" t="s">
        <v>455</v>
      </c>
      <c r="C125" s="21" t="s">
        <v>138</v>
      </c>
      <c r="D125" s="22">
        <f>+Indicadores!C19</f>
        <v>0.78659999999999997</v>
      </c>
      <c r="E125" s="22">
        <f>+Indicadores!D19</f>
        <v>0.83740000000000003</v>
      </c>
      <c r="F125" s="22">
        <f>+Indicadores!E19</f>
        <v>0.91239999999999999</v>
      </c>
      <c r="G125" s="22">
        <f>+Indicadores!F19</f>
        <v>0.91290000000000004</v>
      </c>
      <c r="H125" s="22">
        <f>+Indicadores!G19</f>
        <v>0.93379999999999996</v>
      </c>
    </row>
    <row r="126" spans="1:8" x14ac:dyDescent="0.3">
      <c r="A126" s="127"/>
      <c r="B126" s="127"/>
      <c r="C126" s="31" t="s">
        <v>139</v>
      </c>
      <c r="D126" s="30" t="e">
        <f>+'Dados do Setor'!C57</f>
        <v>#DIV/0!</v>
      </c>
      <c r="E126" s="30">
        <f>+'Dados do Setor'!D57</f>
        <v>5.4365400161681489E-2</v>
      </c>
      <c r="F126" s="30">
        <f>+'Dados do Setor'!E57</f>
        <v>8.5751288884461166E-2</v>
      </c>
      <c r="G126" s="30">
        <f>+'Dados do Setor'!F57</f>
        <v>8.3177228491798788E-2</v>
      </c>
      <c r="H126" s="30">
        <f>+'Dados do Setor'!G57</f>
        <v>9.6445990594898875E-2</v>
      </c>
    </row>
    <row r="127" spans="1:8" x14ac:dyDescent="0.3">
      <c r="A127" s="128"/>
      <c r="B127" s="128"/>
      <c r="C127" s="32" t="s">
        <v>461</v>
      </c>
      <c r="D127" s="84" t="e">
        <f>+D125/D126*100</f>
        <v>#DIV/0!</v>
      </c>
      <c r="E127" s="84">
        <f>+E125/E126*100</f>
        <v>1540.3179182156134</v>
      </c>
      <c r="F127" s="84">
        <f>+F125/F126*100</f>
        <v>1064.0073308161486</v>
      </c>
      <c r="G127" s="84">
        <f>+G125/G126*100</f>
        <v>1097.5359681406208</v>
      </c>
      <c r="H127" s="84">
        <f>+H125/H126*100</f>
        <v>968.21028457495015</v>
      </c>
    </row>
    <row r="128" spans="1:8" x14ac:dyDescent="0.3">
      <c r="A128" s="117" t="s">
        <v>118</v>
      </c>
      <c r="B128" s="117"/>
      <c r="C128" s="117"/>
      <c r="D128" s="117"/>
      <c r="E128" s="117"/>
      <c r="F128" s="117"/>
      <c r="G128" s="117"/>
      <c r="H128" s="117"/>
    </row>
    <row r="129" spans="1:8" x14ac:dyDescent="0.3">
      <c r="A129" s="126" t="s">
        <v>119</v>
      </c>
      <c r="B129" s="126" t="s">
        <v>120</v>
      </c>
      <c r="C129" s="21" t="s">
        <v>138</v>
      </c>
      <c r="D129" s="22">
        <f>+Balanço!C17/Balanço!C54</f>
        <v>3.3279040817841121</v>
      </c>
      <c r="E129" s="22">
        <f>+Balanço!D17/Balanço!D54</f>
        <v>3.6921379687761524</v>
      </c>
      <c r="F129" s="22">
        <f>+Balanço!E17/Balanço!E54</f>
        <v>3.3108491065906649</v>
      </c>
      <c r="G129" s="22">
        <f>+Balanço!F17/Balanço!F54</f>
        <v>1.550896543398441</v>
      </c>
      <c r="H129" s="22">
        <f>+Balanço!G17/Balanço!G54</f>
        <v>2.6558340888656571</v>
      </c>
    </row>
    <row r="130" spans="1:8" x14ac:dyDescent="0.3">
      <c r="A130" s="127"/>
      <c r="B130" s="127"/>
      <c r="C130" s="31" t="s">
        <v>139</v>
      </c>
      <c r="D130" s="30" t="e">
        <f>+'Dados do Setor'!C43/'Dados do Setor'!C44</f>
        <v>#DIV/0!</v>
      </c>
      <c r="E130" s="30">
        <f>+'Dados do Setor'!D43/'Dados do Setor'!D44</f>
        <v>1.6446886446886446</v>
      </c>
      <c r="F130" s="30">
        <f>+'Dados do Setor'!E43/'Dados do Setor'!E44</f>
        <v>1.4643734643734643</v>
      </c>
      <c r="G130" s="30">
        <f>+'Dados do Setor'!F43/'Dados do Setor'!F44</f>
        <v>1.688337801608579</v>
      </c>
      <c r="H130" s="30">
        <f>+'Dados do Setor'!G43/'Dados do Setor'!G44</f>
        <v>1.5859697386519944</v>
      </c>
    </row>
    <row r="131" spans="1:8" x14ac:dyDescent="0.3">
      <c r="A131" s="128"/>
      <c r="B131" s="128"/>
      <c r="C131" s="32" t="s">
        <v>461</v>
      </c>
      <c r="D131" s="84" t="e">
        <f>+D129/D130*100</f>
        <v>#DIV/0!</v>
      </c>
      <c r="E131" s="84">
        <f>+E129/E130*100</f>
        <v>224.48856692113358</v>
      </c>
      <c r="F131" s="84">
        <f>+F129/F130*100</f>
        <v>226.09321919167797</v>
      </c>
      <c r="G131" s="84">
        <f>+G129/G130*100</f>
        <v>91.859374464091857</v>
      </c>
      <c r="H131" s="84">
        <f>+H129/H130*100</f>
        <v>167.45805573333328</v>
      </c>
    </row>
    <row r="132" spans="1:8" x14ac:dyDescent="0.3">
      <c r="A132" s="126" t="s">
        <v>121</v>
      </c>
      <c r="B132" s="126" t="s">
        <v>122</v>
      </c>
      <c r="C132" s="21" t="s">
        <v>138</v>
      </c>
      <c r="D132" s="22">
        <f>+(Balanço!C17-Balanço!C18)/Balanço!C54</f>
        <v>2.9005202723168235</v>
      </c>
      <c r="E132" s="22">
        <f>+(Balanço!D17-Balanço!D18)/Balanço!D54</f>
        <v>3.1273952380375549</v>
      </c>
      <c r="F132" s="22">
        <f>+(Balanço!E17-Balanço!E18)/Balanço!E54</f>
        <v>2.9256799146473753</v>
      </c>
      <c r="G132" s="22">
        <f>+(Balanço!F17-Balanço!F18)/Balanço!F54</f>
        <v>1.3400343112494026</v>
      </c>
      <c r="H132" s="22">
        <f>+(Balanço!G17-Balanço!G18)/Balanço!G54</f>
        <v>1.6745807490337179</v>
      </c>
    </row>
    <row r="133" spans="1:8" x14ac:dyDescent="0.3">
      <c r="A133" s="127"/>
      <c r="B133" s="127"/>
      <c r="C133" s="31" t="s">
        <v>139</v>
      </c>
      <c r="D133" s="30" t="e">
        <f>+('Dados do Setor'!C43-'Dados do Setor'!C47)/'Dados do Setor'!C44</f>
        <v>#DIV/0!</v>
      </c>
      <c r="E133" s="30">
        <f>+('Dados do Setor'!D43-'Dados do Setor'!D47)/'Dados do Setor'!D44</f>
        <v>1.2518315018315018</v>
      </c>
      <c r="F133" s="30">
        <f>+('Dados do Setor'!E43-'Dados do Setor'!E47)/'Dados do Setor'!E44</f>
        <v>1.1658476658476657</v>
      </c>
      <c r="G133" s="30">
        <f>+('Dados do Setor'!F43-'Dados do Setor'!F47)/'Dados do Setor'!F44</f>
        <v>1.396112600536193</v>
      </c>
      <c r="H133" s="30">
        <f>+('Dados do Setor'!G43-'Dados do Setor'!G47)/'Dados do Setor'!G44</f>
        <v>1.3872077028885832</v>
      </c>
    </row>
    <row r="134" spans="1:8" x14ac:dyDescent="0.3">
      <c r="A134" s="128"/>
      <c r="B134" s="128"/>
      <c r="C134" s="32" t="s">
        <v>461</v>
      </c>
      <c r="D134" s="84" t="e">
        <f>+D132/D133*100</f>
        <v>#DIV/0!</v>
      </c>
      <c r="E134" s="84">
        <f>+E132/E133*100</f>
        <v>249.82557424557496</v>
      </c>
      <c r="F134" s="84">
        <f>+F132/F133*100</f>
        <v>250.94873029746719</v>
      </c>
      <c r="G134" s="84">
        <f>+G132/G133*100</f>
        <v>95.983254555166042</v>
      </c>
      <c r="H134" s="84">
        <f>+H132/H133*100</f>
        <v>120.71593500719018</v>
      </c>
    </row>
    <row r="135" spans="1:8" x14ac:dyDescent="0.3">
      <c r="A135" s="126" t="s">
        <v>123</v>
      </c>
      <c r="B135" s="126" t="s">
        <v>124</v>
      </c>
      <c r="C135" s="21" t="s">
        <v>138</v>
      </c>
      <c r="D135" s="22">
        <f>+Balanço!C30/Balanço!C54</f>
        <v>1.0688846665751894</v>
      </c>
      <c r="E135" s="22">
        <f>+Balanço!D30/Balanço!D54</f>
        <v>1.5355406804137075</v>
      </c>
      <c r="F135" s="22">
        <f>+Balanço!E30/Balanço!E54</f>
        <v>1.2045406373130232</v>
      </c>
      <c r="G135" s="22">
        <f>+Balanço!F30/Balanço!F54</f>
        <v>0.37435502549748656</v>
      </c>
      <c r="H135" s="22">
        <f>+Balanço!G30/Balanço!G54</f>
        <v>0.24765140991901755</v>
      </c>
    </row>
    <row r="136" spans="1:8" x14ac:dyDescent="0.3">
      <c r="A136" s="127"/>
      <c r="B136" s="127"/>
      <c r="C136" s="31" t="s">
        <v>139</v>
      </c>
      <c r="D136" s="30" t="e">
        <f>+'Dados do Setor'!C48/'Dados do Setor'!C44</f>
        <v>#DIV/0!</v>
      </c>
      <c r="E136" s="30">
        <f>+'Dados do Setor'!D48/'Dados do Setor'!D44</f>
        <v>0.37454212454212454</v>
      </c>
      <c r="F136" s="30">
        <f>+'Dados do Setor'!E48/'Dados do Setor'!E44</f>
        <v>0.4656019656019656</v>
      </c>
      <c r="G136" s="30">
        <f>+'Dados do Setor'!F48/'Dados do Setor'!F44</f>
        <v>0.69973190348525471</v>
      </c>
      <c r="H136" s="30">
        <f>+'Dados do Setor'!G48/'Dados do Setor'!G44</f>
        <v>0.75378266850068776</v>
      </c>
    </row>
    <row r="137" spans="1:8" x14ac:dyDescent="0.3">
      <c r="A137" s="128"/>
      <c r="B137" s="128"/>
      <c r="C137" s="32" t="s">
        <v>461</v>
      </c>
      <c r="D137" s="84" t="e">
        <f>+D135/D136*100</f>
        <v>#DIV/0!</v>
      </c>
      <c r="E137" s="84">
        <f>+E135/E136*100</f>
        <v>409.97809853588478</v>
      </c>
      <c r="F137" s="84">
        <f>+F135/F136*100</f>
        <v>258.70608938596331</v>
      </c>
      <c r="G137" s="84">
        <f>+G135/G136*100</f>
        <v>53.499779505962643</v>
      </c>
      <c r="H137" s="84">
        <f>+H135/H136*100</f>
        <v>32.854484491081344</v>
      </c>
    </row>
    <row r="138" spans="1:8" x14ac:dyDescent="0.3">
      <c r="A138" s="117" t="s">
        <v>125</v>
      </c>
      <c r="B138" s="117"/>
      <c r="C138" s="117"/>
      <c r="D138" s="117"/>
      <c r="E138" s="117"/>
      <c r="F138" s="117"/>
      <c r="G138" s="117"/>
      <c r="H138" s="117"/>
    </row>
    <row r="139" spans="1:8" x14ac:dyDescent="0.3">
      <c r="A139" s="126" t="s">
        <v>94</v>
      </c>
      <c r="B139" s="126" t="s">
        <v>126</v>
      </c>
      <c r="C139" s="21" t="s">
        <v>138</v>
      </c>
      <c r="D139" s="22">
        <f>+Balanço!C46/Balanço!C31</f>
        <v>0.68876843843847013</v>
      </c>
      <c r="E139" s="22">
        <f>+Balanço!D46/Balanço!D31</f>
        <v>0.73041885626901493</v>
      </c>
      <c r="F139" s="22">
        <f>+Balanço!E46/Balanço!E31</f>
        <v>0.75926150371354073</v>
      </c>
      <c r="G139" s="22">
        <f>+Balanço!F46/Balanço!F31</f>
        <v>0.56023880032518347</v>
      </c>
      <c r="H139" s="22">
        <f>+Balanço!G46/Balanço!G31</f>
        <v>0.5784485773339535</v>
      </c>
    </row>
    <row r="140" spans="1:8" x14ac:dyDescent="0.3">
      <c r="A140" s="127"/>
      <c r="B140" s="127"/>
      <c r="C140" s="31" t="s">
        <v>139</v>
      </c>
      <c r="D140" s="30" t="e">
        <f>+'Dados do Setor'!C42/'Dados do Setor'!C40</f>
        <v>#DIV/0!</v>
      </c>
      <c r="E140" s="30">
        <f>+'Dados do Setor'!D42/'Dados do Setor'!D40</f>
        <v>0.48142292490118577</v>
      </c>
      <c r="F140" s="30">
        <f>+'Dados do Setor'!E42/'Dados do Setor'!E40</f>
        <v>0.43434115523465705</v>
      </c>
      <c r="G140" s="30">
        <f>+'Dados do Setor'!F42/'Dados do Setor'!F40</f>
        <v>0.50368305793350587</v>
      </c>
      <c r="H140" s="30">
        <f>+'Dados do Setor'!G42/'Dados do Setor'!G40</f>
        <v>0.48592870544090055</v>
      </c>
    </row>
    <row r="141" spans="1:8" x14ac:dyDescent="0.3">
      <c r="A141" s="128"/>
      <c r="B141" s="128"/>
      <c r="C141" s="32" t="s">
        <v>461</v>
      </c>
      <c r="D141" s="84" t="e">
        <f>+D139/D140*100</f>
        <v>#DIV/0!</v>
      </c>
      <c r="E141" s="84">
        <f>+E139/E140*100</f>
        <v>151.72082975046041</v>
      </c>
      <c r="F141" s="84">
        <f>+F139/F140*100</f>
        <v>174.80763555628116</v>
      </c>
      <c r="G141" s="84">
        <f>+G139/G140*100</f>
        <v>111.22843849934374</v>
      </c>
      <c r="H141" s="84">
        <f>+H139/H140*100</f>
        <v>119.03980375250858</v>
      </c>
    </row>
    <row r="142" spans="1:8" x14ac:dyDescent="0.3">
      <c r="A142" s="126" t="s">
        <v>127</v>
      </c>
      <c r="B142" s="126" t="s">
        <v>128</v>
      </c>
      <c r="C142" s="21" t="s">
        <v>138</v>
      </c>
      <c r="D142" s="22">
        <f>+Balanço!C66/Balanço!C31</f>
        <v>0.31123156156152992</v>
      </c>
      <c r="E142" s="22">
        <f>+Balanço!D66/Balanço!D31</f>
        <v>0.26958114373098496</v>
      </c>
      <c r="F142" s="22">
        <f>+Balanço!E66/Balanço!E31</f>
        <v>0.24073849628645932</v>
      </c>
      <c r="G142" s="22">
        <f>+Balanço!F66/Balanço!F31</f>
        <v>0.43976119967481658</v>
      </c>
      <c r="H142" s="22">
        <f>+Balanço!G66/Balanço!G31</f>
        <v>0.42155142266604645</v>
      </c>
    </row>
    <row r="143" spans="1:8" x14ac:dyDescent="0.3">
      <c r="A143" s="127"/>
      <c r="B143" s="127"/>
      <c r="C143" s="31" t="s">
        <v>139</v>
      </c>
      <c r="D143" s="30" t="e">
        <f>+'Dados do Setor'!C41/'Dados do Setor'!C40</f>
        <v>#DIV/0!</v>
      </c>
      <c r="E143" s="30">
        <f>+'Dados do Setor'!D41/'Dados do Setor'!D40</f>
        <v>0.51857707509881423</v>
      </c>
      <c r="F143" s="30">
        <f>+'Dados do Setor'!E41/'Dados do Setor'!E40</f>
        <v>0.56543321299638993</v>
      </c>
      <c r="G143" s="30">
        <f>+'Dados do Setor'!F41/'Dados do Setor'!F40</f>
        <v>0.49631694206649413</v>
      </c>
      <c r="H143" s="30">
        <f>+'Dados do Setor'!G41/'Dados do Setor'!G40</f>
        <v>0.51386283093600171</v>
      </c>
    </row>
    <row r="144" spans="1:8" x14ac:dyDescent="0.3">
      <c r="A144" s="128"/>
      <c r="B144" s="128"/>
      <c r="C144" s="32" t="s">
        <v>461</v>
      </c>
      <c r="D144" s="84" t="e">
        <f>+D142/D143*100</f>
        <v>#DIV/0!</v>
      </c>
      <c r="E144" s="84">
        <f>+E142/E143*100</f>
        <v>51.984778478612192</v>
      </c>
      <c r="F144" s="84">
        <f>+F142/F143*100</f>
        <v>42.575938369576519</v>
      </c>
      <c r="G144" s="84">
        <f>+G142/G143*100</f>
        <v>88.604913997858148</v>
      </c>
      <c r="H144" s="84">
        <f>+H142/H143*100</f>
        <v>82.035788013347855</v>
      </c>
    </row>
    <row r="145" spans="1:8" x14ac:dyDescent="0.3">
      <c r="A145" s="126" t="s">
        <v>129</v>
      </c>
      <c r="B145" s="126" t="s">
        <v>130</v>
      </c>
      <c r="C145" s="21" t="s">
        <v>138</v>
      </c>
      <c r="D145" s="22">
        <f>+Balanço!C31/Balanço!C66</f>
        <v>3.2130417460965051</v>
      </c>
      <c r="E145" s="22">
        <f>+Balanço!D31/Balanço!D66</f>
        <v>3.7094582586900069</v>
      </c>
      <c r="F145" s="22">
        <f>+Balanço!E31/Balanço!E66</f>
        <v>4.1538848810041626</v>
      </c>
      <c r="G145" s="22">
        <f>+Balanço!F31/Balanço!F66</f>
        <v>2.273961415285056</v>
      </c>
      <c r="H145" s="22">
        <f>+Balanço!G31/Balanço!G66</f>
        <v>2.3721898355261897</v>
      </c>
    </row>
    <row r="146" spans="1:8" x14ac:dyDescent="0.3">
      <c r="A146" s="127"/>
      <c r="B146" s="127"/>
      <c r="C146" s="31" t="s">
        <v>139</v>
      </c>
      <c r="D146" s="30" t="e">
        <f>+'Dados do Setor'!C40/'Dados do Setor'!C41</f>
        <v>#DIV/0!</v>
      </c>
      <c r="E146" s="30">
        <f>+'Dados do Setor'!D40/'Dados do Setor'!D41</f>
        <v>1.9283536585365855</v>
      </c>
      <c r="F146" s="30">
        <f>+'Dados do Setor'!E40/'Dados do Setor'!E41</f>
        <v>1.7685554668794892</v>
      </c>
      <c r="G146" s="30">
        <f>+'Dados do Setor'!F40/'Dados do Setor'!F41</f>
        <v>2.0148415563578017</v>
      </c>
      <c r="H146" s="30">
        <f>+'Dados do Setor'!G40/'Dados do Setor'!G41</f>
        <v>1.9460446247464502</v>
      </c>
    </row>
    <row r="147" spans="1:8" x14ac:dyDescent="0.3">
      <c r="A147" s="128"/>
      <c r="B147" s="128"/>
      <c r="C147" s="32" t="s">
        <v>461</v>
      </c>
      <c r="D147" s="84" t="e">
        <f>+D145/D146*100</f>
        <v>#DIV/0!</v>
      </c>
      <c r="E147" s="84">
        <f>+E145/E146*100</f>
        <v>192.36400139926042</v>
      </c>
      <c r="F147" s="84">
        <f>+F145/F146*100</f>
        <v>234.87444746833103</v>
      </c>
      <c r="G147" s="84">
        <f>+G145/G146*100</f>
        <v>112.86055760114762</v>
      </c>
      <c r="H147" s="84">
        <f>+H145/H146*100</f>
        <v>121.89801844010961</v>
      </c>
    </row>
    <row r="148" spans="1:8" x14ac:dyDescent="0.3">
      <c r="A148" s="126" t="s">
        <v>131</v>
      </c>
      <c r="B148" s="126" t="s">
        <v>132</v>
      </c>
      <c r="C148" s="21" t="s">
        <v>138</v>
      </c>
      <c r="D148" s="22">
        <f>+(Balanço!C50+Balanço!C59)/(Balanço!C46+Balanço!C50+Balanço!C59)</f>
        <v>0.11533289875039002</v>
      </c>
      <c r="E148" s="22">
        <f>+(Balanço!D50+Balanço!D59)/(Balanço!D46+Balanço!D50+Balanço!D59)</f>
        <v>9.9316329838738615E-2</v>
      </c>
      <c r="F148" s="22">
        <f>+(Balanço!E50+Balanço!E59)/(Balanço!E46+Balanço!E50+Balanço!E59)</f>
        <v>5.6609746169564677E-2</v>
      </c>
      <c r="G148" s="22">
        <f>+(Balanço!F50+Balanço!F59)/(Balanço!F46+Balanço!F50+Balanço!F59)</f>
        <v>0.18381541881348662</v>
      </c>
      <c r="H148" s="22">
        <f>+(Balanço!G50+Balanço!G59)/(Balanço!G46+Balanço!G50+Balanço!G59)</f>
        <v>0.31224423229879961</v>
      </c>
    </row>
    <row r="149" spans="1:8" x14ac:dyDescent="0.3">
      <c r="A149" s="127"/>
      <c r="B149" s="127"/>
      <c r="C149" s="31" t="s">
        <v>139</v>
      </c>
      <c r="D149" s="30" t="e">
        <f>+'Dados do Setor'!C49/('Dados do Setor'!C49+'Dados do Setor'!C42)</f>
        <v>#DIV/0!</v>
      </c>
      <c r="E149" s="30">
        <f>+'Dados do Setor'!D49/('Dados do Setor'!D49+'Dados do Setor'!D42)</f>
        <v>0.36562499999999998</v>
      </c>
      <c r="F149" s="30">
        <f>+'Dados do Setor'!E49/('Dados do Setor'!E49+'Dados do Setor'!E42)</f>
        <v>0.38102893890675243</v>
      </c>
      <c r="G149" s="30">
        <f>+'Dados do Setor'!F49/('Dados do Setor'!F49+'Dados do Setor'!F42)</f>
        <v>0.32207931404072881</v>
      </c>
      <c r="H149" s="30">
        <f>+'Dados do Setor'!G49/('Dados do Setor'!G49+'Dados do Setor'!G42)</f>
        <v>0.32707852193995379</v>
      </c>
    </row>
    <row r="150" spans="1:8" x14ac:dyDescent="0.3">
      <c r="A150" s="128"/>
      <c r="B150" s="128"/>
      <c r="C150" s="32" t="s">
        <v>461</v>
      </c>
      <c r="D150" s="84" t="e">
        <f>+D148/D149*100</f>
        <v>#DIV/0!</v>
      </c>
      <c r="E150" s="84">
        <f>+E148/E149*100</f>
        <v>27.163440639655008</v>
      </c>
      <c r="F150" s="84">
        <f>+F148/F149*100</f>
        <v>14.857072623404738</v>
      </c>
      <c r="G150" s="84">
        <f>+G148/G149*100</f>
        <v>57.071476124120814</v>
      </c>
      <c r="H150" s="84">
        <f>+H148/H149*100</f>
        <v>95.464609062933974</v>
      </c>
    </row>
    <row r="151" spans="1:8" x14ac:dyDescent="0.3">
      <c r="A151" s="117" t="s">
        <v>133</v>
      </c>
      <c r="B151" s="117"/>
      <c r="C151" s="117"/>
      <c r="D151" s="117"/>
      <c r="E151" s="117"/>
      <c r="F151" s="117"/>
      <c r="G151" s="117"/>
      <c r="H151" s="117"/>
    </row>
    <row r="152" spans="1:8" x14ac:dyDescent="0.3">
      <c r="A152" s="126" t="s">
        <v>134</v>
      </c>
      <c r="B152" s="126" t="s">
        <v>136</v>
      </c>
      <c r="C152" s="21" t="s">
        <v>138</v>
      </c>
      <c r="D152" s="22">
        <f>+('Demonstração de Resultados'!C26-'Demonstração de Resultados'!C30)/Balanço!C31</f>
        <v>4.888094574837322E-2</v>
      </c>
      <c r="E152" s="22">
        <f>+('Demonstração de Resultados'!D26-'Demonstração de Resultados'!D30)/Balanço!D31</f>
        <v>6.8153108599494347E-2</v>
      </c>
      <c r="F152" s="22">
        <f>+('Demonstração de Resultados'!E26-'Demonstração de Resultados'!E30)/Balanço!E31</f>
        <v>6.8476970515392158E-2</v>
      </c>
      <c r="G152" s="22">
        <f>+('Demonstração de Resultados'!F26-'Demonstração de Resultados'!F30)/Balanço!F31</f>
        <v>1.3231124137349412E-2</v>
      </c>
      <c r="H152" s="22">
        <f>+('Demonstração de Resultados'!G26-'Demonstração de Resultados'!G30)/Balanço!G31</f>
        <v>8.7012361096377583E-2</v>
      </c>
    </row>
    <row r="153" spans="1:8" x14ac:dyDescent="0.3">
      <c r="A153" s="127"/>
      <c r="B153" s="127"/>
      <c r="C153" s="31" t="s">
        <v>139</v>
      </c>
      <c r="D153" s="30" t="e">
        <f>+('Dados do Setor'!C54-'Dados do Setor'!C50)/'Dados do Setor'!C40</f>
        <v>#DIV/0!</v>
      </c>
      <c r="E153" s="30">
        <f>+('Dados do Setor'!D54-'Dados do Setor'!D50)/'Dados do Setor'!D40</f>
        <v>4.9275362318840582E-2</v>
      </c>
      <c r="F153" s="30">
        <f>+('Dados do Setor'!E54-'Dados do Setor'!E50)/'Dados do Setor'!E40</f>
        <v>3.9034296028880866E-2</v>
      </c>
      <c r="G153" s="30">
        <f>+('Dados do Setor'!F54-'Dados do Setor'!F50)/'Dados do Setor'!F40</f>
        <v>-3.9816842524387818E-3</v>
      </c>
      <c r="H153" s="30">
        <f>+('Dados do Setor'!G54-'Dados do Setor'!G50)/'Dados do Setor'!G40</f>
        <v>7.3796122576610376E-2</v>
      </c>
    </row>
    <row r="154" spans="1:8" x14ac:dyDescent="0.3">
      <c r="A154" s="128"/>
      <c r="B154" s="128"/>
      <c r="C154" s="32" t="s">
        <v>461</v>
      </c>
      <c r="D154" s="84" t="e">
        <f>+D152/D153*100</f>
        <v>#DIV/0!</v>
      </c>
      <c r="E154" s="84">
        <f>+E152/E153*100</f>
        <v>138.31072039309146</v>
      </c>
      <c r="F154" s="84">
        <f>+F152/F153*100</f>
        <v>175.42770712382546</v>
      </c>
      <c r="G154" s="84">
        <f>+G152/G153*100</f>
        <v>-332.29968270953043</v>
      </c>
      <c r="H154" s="84">
        <f>+H152/H153*100</f>
        <v>117.90912321449811</v>
      </c>
    </row>
    <row r="155" spans="1:8" x14ac:dyDescent="0.3">
      <c r="A155" s="126" t="s">
        <v>135</v>
      </c>
      <c r="B155" s="126" t="s">
        <v>137</v>
      </c>
      <c r="C155" s="21" t="s">
        <v>138</v>
      </c>
      <c r="D155" s="22">
        <f>+'Demonstração de Resultados'!C31/Balanço!C46</f>
        <v>6.8160768436231034E-2</v>
      </c>
      <c r="E155" s="22">
        <f>+'Demonstração de Resultados'!D31/Balanço!D46</f>
        <v>9.161377993512243E-2</v>
      </c>
      <c r="F155" s="22">
        <f>+'Demonstração de Resultados'!E31/Balanço!E46</f>
        <v>8.9216359825743677E-2</v>
      </c>
      <c r="G155" s="22">
        <f>+'Demonstração de Resultados'!F31/Balanço!F46</f>
        <v>2.3236841706566425E-2</v>
      </c>
      <c r="H155" s="22">
        <f>+'Demonstração de Resultados'!G31/Balanço!G46</f>
        <v>0.14800246248309576</v>
      </c>
    </row>
    <row r="156" spans="1:8" x14ac:dyDescent="0.3">
      <c r="A156" s="127"/>
      <c r="B156" s="127"/>
      <c r="C156" s="31" t="s">
        <v>139</v>
      </c>
      <c r="D156" s="30" t="e">
        <f>+'Dados do Setor'!C39/'Dados do Setor'!C42</f>
        <v>#DIV/0!</v>
      </c>
      <c r="E156" s="30">
        <f>+'Dados do Setor'!D39/'Dados do Setor'!D42</f>
        <v>8.7027914614121515E-2</v>
      </c>
      <c r="F156" s="30">
        <f>+'Dados do Setor'!E39/'Dados do Setor'!E42</f>
        <v>7.5844155844155839E-2</v>
      </c>
      <c r="G156" s="30">
        <f>+'Dados do Setor'!F39/'Dados do Setor'!F42</f>
        <v>-1.7391304347826087E-2</v>
      </c>
      <c r="H156" s="30">
        <f>+'Dados do Setor'!G39/'Dados do Setor'!G42</f>
        <v>0.14414414414414414</v>
      </c>
    </row>
    <row r="157" spans="1:8" x14ac:dyDescent="0.3">
      <c r="A157" s="128"/>
      <c r="B157" s="128"/>
      <c r="C157" s="32" t="s">
        <v>461</v>
      </c>
      <c r="D157" s="84" t="e">
        <f>+D155/D156*100</f>
        <v>#DIV/0!</v>
      </c>
      <c r="E157" s="84">
        <f>+E155/E156*100</f>
        <v>105.26941883111238</v>
      </c>
      <c r="F157" s="84">
        <f>+F155/F156*100</f>
        <v>117.63115935928535</v>
      </c>
      <c r="G157" s="84">
        <f>+G155/G156*100</f>
        <v>-133.61183981275695</v>
      </c>
      <c r="H157" s="84">
        <f>+H155/H156*100</f>
        <v>102.67670834764769</v>
      </c>
    </row>
  </sheetData>
  <mergeCells count="103">
    <mergeCell ref="A2:H2"/>
    <mergeCell ref="A4:H4"/>
    <mergeCell ref="A20:H20"/>
    <mergeCell ref="A48:H48"/>
    <mergeCell ref="A5:A7"/>
    <mergeCell ref="B5:B7"/>
    <mergeCell ref="A8:A10"/>
    <mergeCell ref="B8:B10"/>
    <mergeCell ref="A11:A13"/>
    <mergeCell ref="B11:B13"/>
    <mergeCell ref="A14:A16"/>
    <mergeCell ref="B14:B16"/>
    <mergeCell ref="A17:A19"/>
    <mergeCell ref="B17:B19"/>
    <mergeCell ref="A21:A23"/>
    <mergeCell ref="B42:B44"/>
    <mergeCell ref="A45:A47"/>
    <mergeCell ref="B45:B47"/>
    <mergeCell ref="A30:A32"/>
    <mergeCell ref="B30:B32"/>
    <mergeCell ref="A33:A35"/>
    <mergeCell ref="B33:B35"/>
    <mergeCell ref="A36:A38"/>
    <mergeCell ref="B36:B38"/>
    <mergeCell ref="A58:H58"/>
    <mergeCell ref="B21:B23"/>
    <mergeCell ref="A24:A26"/>
    <mergeCell ref="B24:B26"/>
    <mergeCell ref="A27:A29"/>
    <mergeCell ref="B27:B29"/>
    <mergeCell ref="B59:B61"/>
    <mergeCell ref="A62:A64"/>
    <mergeCell ref="B62:B64"/>
    <mergeCell ref="A39:A41"/>
    <mergeCell ref="B39:B41"/>
    <mergeCell ref="A49:A51"/>
    <mergeCell ref="B49:B51"/>
    <mergeCell ref="A52:A54"/>
    <mergeCell ref="B52:B54"/>
    <mergeCell ref="A42:A44"/>
    <mergeCell ref="A55:A57"/>
    <mergeCell ref="B55:B57"/>
    <mergeCell ref="A59:A61"/>
    <mergeCell ref="A84:H84"/>
    <mergeCell ref="A85:A87"/>
    <mergeCell ref="B85:B87"/>
    <mergeCell ref="A88:A90"/>
    <mergeCell ref="B88:B90"/>
    <mergeCell ref="A75:A77"/>
    <mergeCell ref="B75:B77"/>
    <mergeCell ref="A65:A67"/>
    <mergeCell ref="B65:B67"/>
    <mergeCell ref="A68:A70"/>
    <mergeCell ref="B68:B70"/>
    <mergeCell ref="A72:A74"/>
    <mergeCell ref="B72:B74"/>
    <mergeCell ref="A71:H71"/>
    <mergeCell ref="A100:H100"/>
    <mergeCell ref="A101:A103"/>
    <mergeCell ref="B101:B103"/>
    <mergeCell ref="A104:A106"/>
    <mergeCell ref="B104:B106"/>
    <mergeCell ref="A91:A93"/>
    <mergeCell ref="B91:B93"/>
    <mergeCell ref="A94:A96"/>
    <mergeCell ref="B94:B96"/>
    <mergeCell ref="A97:A99"/>
    <mergeCell ref="B97:B99"/>
    <mergeCell ref="A116:A118"/>
    <mergeCell ref="B116:B118"/>
    <mergeCell ref="A119:A121"/>
    <mergeCell ref="B119:B121"/>
    <mergeCell ref="A122:A124"/>
    <mergeCell ref="B122:B124"/>
    <mergeCell ref="A107:A109"/>
    <mergeCell ref="B107:B109"/>
    <mergeCell ref="A110:A112"/>
    <mergeCell ref="B110:B112"/>
    <mergeCell ref="A113:A115"/>
    <mergeCell ref="B113:B115"/>
    <mergeCell ref="A132:A134"/>
    <mergeCell ref="B132:B134"/>
    <mergeCell ref="A135:A137"/>
    <mergeCell ref="B135:B137"/>
    <mergeCell ref="A138:H138"/>
    <mergeCell ref="A125:A127"/>
    <mergeCell ref="B125:B127"/>
    <mergeCell ref="A128:H128"/>
    <mergeCell ref="A129:A131"/>
    <mergeCell ref="B129:B131"/>
    <mergeCell ref="A155:A157"/>
    <mergeCell ref="B155:B157"/>
    <mergeCell ref="A148:A150"/>
    <mergeCell ref="B148:B150"/>
    <mergeCell ref="A151:H151"/>
    <mergeCell ref="A152:A154"/>
    <mergeCell ref="B152:B154"/>
    <mergeCell ref="A139:A141"/>
    <mergeCell ref="B139:B141"/>
    <mergeCell ref="A142:A144"/>
    <mergeCell ref="B142:B144"/>
    <mergeCell ref="A145:A147"/>
    <mergeCell ref="B145:B14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93CA1-2726-484D-8AA4-165FA62C2047}">
  <sheetPr codeName="Sheet6"/>
  <dimension ref="A2:E52"/>
  <sheetViews>
    <sheetView zoomScale="70" zoomScaleNormal="70" workbookViewId="0">
      <selection activeCell="C11" sqref="C11"/>
    </sheetView>
  </sheetViews>
  <sheetFormatPr defaultRowHeight="14.4" x14ac:dyDescent="0.3"/>
  <cols>
    <col min="1" max="1" width="49.44140625" customWidth="1"/>
    <col min="2" max="2" width="46.6640625" customWidth="1"/>
    <col min="3" max="3" width="68.44140625" customWidth="1"/>
    <col min="5" max="5" width="0" hidden="1" customWidth="1"/>
  </cols>
  <sheetData>
    <row r="2" spans="1:3" x14ac:dyDescent="0.3">
      <c r="A2" s="130"/>
      <c r="B2" s="130"/>
      <c r="C2" s="130"/>
    </row>
    <row r="3" spans="1:3" ht="16.2" customHeight="1" x14ac:dyDescent="0.3">
      <c r="A3" s="78" t="s">
        <v>91</v>
      </c>
      <c r="B3" s="78" t="s">
        <v>92</v>
      </c>
      <c r="C3" s="79">
        <v>2021</v>
      </c>
    </row>
    <row r="4" spans="1:3" x14ac:dyDescent="0.3">
      <c r="A4" s="81" t="s">
        <v>96</v>
      </c>
      <c r="B4" s="80" t="s">
        <v>97</v>
      </c>
      <c r="C4" s="29">
        <f>+Comparação!H7</f>
        <v>235.28878084244144</v>
      </c>
    </row>
    <row r="5" spans="1:3" x14ac:dyDescent="0.3">
      <c r="A5" s="81" t="s">
        <v>454</v>
      </c>
      <c r="B5" s="80" t="s">
        <v>455</v>
      </c>
      <c r="C5" s="29">
        <f>+Comparação!H47</f>
        <v>984.92253266366947</v>
      </c>
    </row>
    <row r="6" spans="1:3" x14ac:dyDescent="0.3">
      <c r="A6" s="81" t="s">
        <v>119</v>
      </c>
      <c r="B6" s="80" t="s">
        <v>120</v>
      </c>
      <c r="C6" s="29">
        <f>+Comparação!H51</f>
        <v>154.62443533698809</v>
      </c>
    </row>
    <row r="7" spans="1:3" x14ac:dyDescent="0.3">
      <c r="A7" s="81" t="s">
        <v>103</v>
      </c>
      <c r="B7" s="80" t="s">
        <v>104</v>
      </c>
      <c r="C7" s="29">
        <f>+Comparação!H19</f>
        <v>119.60473995883108</v>
      </c>
    </row>
    <row r="8" spans="1:3" x14ac:dyDescent="0.3">
      <c r="A8" s="81" t="s">
        <v>99</v>
      </c>
      <c r="B8" s="80" t="s">
        <v>100</v>
      </c>
      <c r="C8" s="29">
        <f>+Comparação!H13</f>
        <v>225.03649260158852</v>
      </c>
    </row>
    <row r="9" spans="1:3" x14ac:dyDescent="0.3">
      <c r="A9" s="81" t="s">
        <v>134</v>
      </c>
      <c r="B9" s="80" t="s">
        <v>136</v>
      </c>
      <c r="C9" s="29">
        <f>+Comparação!H74</f>
        <v>109.9712767736923</v>
      </c>
    </row>
    <row r="10" spans="1:3" x14ac:dyDescent="0.3">
      <c r="A10" s="81" t="s">
        <v>121</v>
      </c>
      <c r="B10" s="80" t="s">
        <v>122</v>
      </c>
      <c r="C10" s="29">
        <f>+Comparação!H54</f>
        <v>131.21022223684668</v>
      </c>
    </row>
    <row r="11" spans="1:3" x14ac:dyDescent="0.3">
      <c r="A11" s="81" t="s">
        <v>129</v>
      </c>
      <c r="B11" s="80" t="s">
        <v>130</v>
      </c>
      <c r="C11" s="29">
        <f>+Comparação!H67</f>
        <v>119.19213489380715</v>
      </c>
    </row>
    <row r="12" spans="1:3" x14ac:dyDescent="0.3">
      <c r="A12" s="81" t="s">
        <v>95</v>
      </c>
      <c r="B12" s="80" t="s">
        <v>98</v>
      </c>
      <c r="C12" s="29">
        <f>+Comparação!H7</f>
        <v>235.28878084244144</v>
      </c>
    </row>
    <row r="13" spans="1:3" x14ac:dyDescent="0.3">
      <c r="A13" s="81" t="s">
        <v>94</v>
      </c>
      <c r="B13" s="80" t="s">
        <v>126</v>
      </c>
      <c r="C13" s="29">
        <f>+Comparação!H61</f>
        <v>116.26082125541379</v>
      </c>
    </row>
    <row r="14" spans="1:3" x14ac:dyDescent="0.3">
      <c r="A14" s="81" t="s">
        <v>90</v>
      </c>
      <c r="B14" s="80" t="s">
        <v>93</v>
      </c>
      <c r="C14" s="29" t="e">
        <f>Comparação!H16</f>
        <v>#VALUE!</v>
      </c>
    </row>
    <row r="15" spans="1:3" x14ac:dyDescent="0.3">
      <c r="A15" s="81" t="s">
        <v>135</v>
      </c>
      <c r="B15" s="80" t="s">
        <v>137</v>
      </c>
      <c r="C15" s="29">
        <f>+Comparação!H77</f>
        <v>102.87622147109303</v>
      </c>
    </row>
    <row r="16" spans="1:3" x14ac:dyDescent="0.3">
      <c r="A16" s="81" t="s">
        <v>109</v>
      </c>
      <c r="B16" s="80" t="s">
        <v>107</v>
      </c>
      <c r="C16" s="29">
        <f>+Comparação!H26</f>
        <v>465.2582695436534</v>
      </c>
    </row>
    <row r="17" spans="1:5" x14ac:dyDescent="0.3">
      <c r="A17" s="81" t="s">
        <v>101</v>
      </c>
      <c r="B17" s="80" t="s">
        <v>106</v>
      </c>
      <c r="C17" s="29">
        <f>+Comparação!H23</f>
        <v>53.149041995861069</v>
      </c>
    </row>
    <row r="18" spans="1:5" x14ac:dyDescent="0.3">
      <c r="A18" s="81" t="s">
        <v>112</v>
      </c>
      <c r="B18" s="80" t="s">
        <v>113</v>
      </c>
      <c r="C18" s="29">
        <f>+Comparação!H32</f>
        <v>69.110334931325283</v>
      </c>
    </row>
    <row r="19" spans="1:5" x14ac:dyDescent="0.3">
      <c r="A19" s="81" t="s">
        <v>111</v>
      </c>
      <c r="B19" s="80" t="s">
        <v>105</v>
      </c>
      <c r="C19" s="29">
        <f>+Comparação!H35</f>
        <v>92.84484342222737</v>
      </c>
    </row>
    <row r="20" spans="1:5" x14ac:dyDescent="0.3">
      <c r="A20" s="81" t="s">
        <v>456</v>
      </c>
      <c r="B20" s="80" t="s">
        <v>457</v>
      </c>
      <c r="C20" s="82">
        <f>+Comparação!H44</f>
        <v>31.287429418742583</v>
      </c>
    </row>
    <row r="21" spans="1:5" x14ac:dyDescent="0.3">
      <c r="A21" s="81" t="s">
        <v>131</v>
      </c>
      <c r="B21" s="80" t="s">
        <v>132</v>
      </c>
      <c r="C21" s="29">
        <f>+Comparação!H70</f>
        <v>81.509752179306176</v>
      </c>
    </row>
    <row r="22" spans="1:5" x14ac:dyDescent="0.3">
      <c r="A22" s="81" t="s">
        <v>127</v>
      </c>
      <c r="B22" s="80" t="s">
        <v>128</v>
      </c>
      <c r="C22" s="29">
        <f>+Comparação!H64</f>
        <v>83.898153254066514</v>
      </c>
    </row>
    <row r="23" spans="1:5" x14ac:dyDescent="0.3">
      <c r="A23" s="81" t="s">
        <v>123</v>
      </c>
      <c r="B23" s="80" t="s">
        <v>124</v>
      </c>
      <c r="C23" s="29">
        <f>+Comparação!H57</f>
        <v>57.468318814592713</v>
      </c>
    </row>
    <row r="24" spans="1:5" x14ac:dyDescent="0.3">
      <c r="A24" s="81" t="s">
        <v>115</v>
      </c>
      <c r="B24" s="80" t="s">
        <v>117</v>
      </c>
      <c r="C24" s="29">
        <f>+Comparação!H41</f>
        <v>176.67259931861167</v>
      </c>
    </row>
    <row r="25" spans="1:5" x14ac:dyDescent="0.3">
      <c r="A25" s="81" t="s">
        <v>114</v>
      </c>
      <c r="B25" s="80" t="s">
        <v>116</v>
      </c>
      <c r="C25" s="29">
        <f>+Comparação!H38</f>
        <v>216.25722545304765</v>
      </c>
    </row>
    <row r="26" spans="1:5" x14ac:dyDescent="0.3">
      <c r="A26" s="81" t="s">
        <v>110</v>
      </c>
      <c r="B26" s="80" t="s">
        <v>108</v>
      </c>
      <c r="C26" s="29">
        <f>+Comparação!H29</f>
        <v>128.85139664625484</v>
      </c>
    </row>
    <row r="28" spans="1:5" x14ac:dyDescent="0.3">
      <c r="A28" s="130"/>
      <c r="B28" s="130"/>
      <c r="C28" s="130"/>
    </row>
    <row r="29" spans="1:5" x14ac:dyDescent="0.3">
      <c r="A29" s="78" t="s">
        <v>91</v>
      </c>
      <c r="B29" s="78" t="s">
        <v>92</v>
      </c>
      <c r="C29" s="79">
        <v>2021</v>
      </c>
    </row>
    <row r="30" spans="1:5" x14ac:dyDescent="0.3">
      <c r="A30" s="81" t="s">
        <v>96</v>
      </c>
      <c r="B30" s="80" t="s">
        <v>97</v>
      </c>
      <c r="C30" s="29">
        <f>+Comparação!H7</f>
        <v>235.28878084244144</v>
      </c>
      <c r="E30" t="s">
        <v>472</v>
      </c>
    </row>
    <row r="31" spans="1:5" x14ac:dyDescent="0.3">
      <c r="A31" s="81" t="s">
        <v>95</v>
      </c>
      <c r="B31" s="80" t="s">
        <v>98</v>
      </c>
      <c r="C31" s="29">
        <f>+Comparação!H7</f>
        <v>235.28878084244144</v>
      </c>
    </row>
    <row r="32" spans="1:5" x14ac:dyDescent="0.3">
      <c r="A32" s="81" t="s">
        <v>99</v>
      </c>
      <c r="B32" s="80" t="s">
        <v>100</v>
      </c>
      <c r="C32" s="29">
        <f>+Comparação!H13</f>
        <v>225.03649260158852</v>
      </c>
    </row>
    <row r="33" spans="1:3" x14ac:dyDescent="0.3">
      <c r="A33" s="81" t="s">
        <v>90</v>
      </c>
      <c r="B33" s="80" t="s">
        <v>93</v>
      </c>
      <c r="C33" s="29" t="e">
        <f>Comparação!H16</f>
        <v>#VALUE!</v>
      </c>
    </row>
    <row r="34" spans="1:3" x14ac:dyDescent="0.3">
      <c r="A34" s="81" t="s">
        <v>103</v>
      </c>
      <c r="B34" s="80" t="s">
        <v>104</v>
      </c>
      <c r="C34" s="29">
        <f>+Comparação!H19</f>
        <v>119.60473995883108</v>
      </c>
    </row>
    <row r="35" spans="1:3" x14ac:dyDescent="0.3">
      <c r="A35" s="81" t="s">
        <v>101</v>
      </c>
      <c r="B35" s="80" t="s">
        <v>106</v>
      </c>
      <c r="C35" s="29">
        <f>+Comparação!H23</f>
        <v>53.149041995861069</v>
      </c>
    </row>
    <row r="36" spans="1:3" x14ac:dyDescent="0.3">
      <c r="A36" s="81" t="s">
        <v>109</v>
      </c>
      <c r="B36" s="80" t="s">
        <v>107</v>
      </c>
      <c r="C36" s="29">
        <f>+Comparação!H26</f>
        <v>465.2582695436534</v>
      </c>
    </row>
    <row r="37" spans="1:3" x14ac:dyDescent="0.3">
      <c r="A37" s="81" t="s">
        <v>110</v>
      </c>
      <c r="B37" s="80" t="s">
        <v>108</v>
      </c>
      <c r="C37" s="29">
        <f>+Comparação!H29</f>
        <v>128.85139664625484</v>
      </c>
    </row>
    <row r="38" spans="1:3" x14ac:dyDescent="0.3">
      <c r="A38" s="81" t="s">
        <v>112</v>
      </c>
      <c r="B38" s="80" t="s">
        <v>113</v>
      </c>
      <c r="C38" s="29">
        <f>+Comparação!H32</f>
        <v>69.110334931325283</v>
      </c>
    </row>
    <row r="39" spans="1:3" x14ac:dyDescent="0.3">
      <c r="A39" s="81" t="s">
        <v>111</v>
      </c>
      <c r="B39" s="80" t="s">
        <v>105</v>
      </c>
      <c r="C39" s="29">
        <f>+Comparação!H35</f>
        <v>92.84484342222737</v>
      </c>
    </row>
    <row r="40" spans="1:3" x14ac:dyDescent="0.3">
      <c r="A40" s="81" t="s">
        <v>114</v>
      </c>
      <c r="B40" s="80" t="s">
        <v>116</v>
      </c>
      <c r="C40" s="29">
        <f>+Comparação!H38</f>
        <v>216.25722545304765</v>
      </c>
    </row>
    <row r="41" spans="1:3" x14ac:dyDescent="0.3">
      <c r="A41" s="81" t="s">
        <v>115</v>
      </c>
      <c r="B41" s="80" t="s">
        <v>117</v>
      </c>
      <c r="C41" s="29">
        <f>+Comparação!H41</f>
        <v>176.67259931861167</v>
      </c>
    </row>
    <row r="42" spans="1:3" x14ac:dyDescent="0.3">
      <c r="A42" s="81" t="s">
        <v>456</v>
      </c>
      <c r="B42" s="80" t="s">
        <v>457</v>
      </c>
      <c r="C42" s="82">
        <f>+Comparação!H44</f>
        <v>31.287429418742583</v>
      </c>
    </row>
    <row r="43" spans="1:3" x14ac:dyDescent="0.3">
      <c r="A43" s="81" t="s">
        <v>454</v>
      </c>
      <c r="B43" s="80" t="s">
        <v>455</v>
      </c>
      <c r="C43" s="29">
        <f>+Comparação!H47</f>
        <v>984.92253266366947</v>
      </c>
    </row>
    <row r="44" spans="1:3" x14ac:dyDescent="0.3">
      <c r="A44" s="81" t="s">
        <v>119</v>
      </c>
      <c r="B44" s="80" t="s">
        <v>120</v>
      </c>
      <c r="C44" s="29">
        <f>+Comparação!H51</f>
        <v>154.62443533698809</v>
      </c>
    </row>
    <row r="45" spans="1:3" x14ac:dyDescent="0.3">
      <c r="A45" s="81" t="s">
        <v>121</v>
      </c>
      <c r="B45" s="80" t="s">
        <v>122</v>
      </c>
      <c r="C45" s="29">
        <f>+Comparação!H54</f>
        <v>131.21022223684668</v>
      </c>
    </row>
    <row r="46" spans="1:3" x14ac:dyDescent="0.3">
      <c r="A46" s="81" t="s">
        <v>123</v>
      </c>
      <c r="B46" s="80" t="s">
        <v>124</v>
      </c>
      <c r="C46" s="29">
        <f>+Comparação!H57</f>
        <v>57.468318814592713</v>
      </c>
    </row>
    <row r="47" spans="1:3" x14ac:dyDescent="0.3">
      <c r="A47" s="81" t="s">
        <v>94</v>
      </c>
      <c r="B47" s="80" t="s">
        <v>126</v>
      </c>
      <c r="C47" s="29">
        <f>+Comparação!H61</f>
        <v>116.26082125541379</v>
      </c>
    </row>
    <row r="48" spans="1:3" x14ac:dyDescent="0.3">
      <c r="A48" s="81" t="s">
        <v>127</v>
      </c>
      <c r="B48" s="80" t="s">
        <v>128</v>
      </c>
      <c r="C48" s="29">
        <f>+Comparação!H64</f>
        <v>83.898153254066514</v>
      </c>
    </row>
    <row r="49" spans="1:3" x14ac:dyDescent="0.3">
      <c r="A49" s="81" t="s">
        <v>129</v>
      </c>
      <c r="B49" s="80" t="s">
        <v>130</v>
      </c>
      <c r="C49" s="29">
        <f>+Comparação!H67</f>
        <v>119.19213489380715</v>
      </c>
    </row>
    <row r="50" spans="1:3" x14ac:dyDescent="0.3">
      <c r="A50" s="81" t="s">
        <v>131</v>
      </c>
      <c r="B50" s="80" t="s">
        <v>132</v>
      </c>
      <c r="C50" s="29">
        <f>+Comparação!H70</f>
        <v>81.509752179306176</v>
      </c>
    </row>
    <row r="51" spans="1:3" x14ac:dyDescent="0.3">
      <c r="A51" s="81" t="s">
        <v>134</v>
      </c>
      <c r="B51" s="80" t="s">
        <v>136</v>
      </c>
      <c r="C51" s="29">
        <f>+Comparação!H74</f>
        <v>109.9712767736923</v>
      </c>
    </row>
    <row r="52" spans="1:3" x14ac:dyDescent="0.3">
      <c r="A52" s="81" t="s">
        <v>135</v>
      </c>
      <c r="B52" s="80" t="s">
        <v>137</v>
      </c>
      <c r="C52" s="29">
        <f>+Comparação!H77</f>
        <v>102.87622147109303</v>
      </c>
    </row>
  </sheetData>
  <mergeCells count="2">
    <mergeCell ref="A2:C2"/>
    <mergeCell ref="A28:C2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F4DA-3F5F-4467-8EB8-946246894906}">
  <sheetPr codeName="Sheet7">
    <pageSetUpPr fitToPage="1"/>
  </sheetPr>
  <dimension ref="A1"/>
  <sheetViews>
    <sheetView tabSelected="1" topLeftCell="A13" zoomScale="55" zoomScaleNormal="55" workbookViewId="0">
      <selection activeCell="Y42" sqref="Y42"/>
    </sheetView>
  </sheetViews>
  <sheetFormatPr defaultRowHeight="14.4" x14ac:dyDescent="0.3"/>
  <sheetData/>
  <pageMargins left="0.7" right="0.7" top="0.75" bottom="0.75" header="0.3" footer="0.3"/>
  <pageSetup paperSize="9" scale="73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7DC4-F30B-455B-B0C6-27C0D5A8BE9E}">
  <sheetPr codeName="Folha11">
    <pageSetUpPr fitToPage="1"/>
  </sheetPr>
  <dimension ref="A1"/>
  <sheetViews>
    <sheetView topLeftCell="A26" zoomScale="70" zoomScaleNormal="70" workbookViewId="0">
      <selection activeCell="AB34" sqref="AB34"/>
    </sheetView>
  </sheetViews>
  <sheetFormatPr defaultRowHeight="14.4" x14ac:dyDescent="0.3"/>
  <sheetData/>
  <pageMargins left="0" right="0" top="0" bottom="0" header="0" footer="0"/>
  <pageSetup paperSize="9" scale="62" fitToWidth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1399D-FC23-459B-BBDA-07625732E881}">
  <sheetPr codeName="Folha12"/>
  <dimension ref="B1:BK138"/>
  <sheetViews>
    <sheetView topLeftCell="A81" zoomScale="85" zoomScaleNormal="85" workbookViewId="0">
      <selection activeCell="H89" sqref="H89:H91"/>
    </sheetView>
  </sheetViews>
  <sheetFormatPr defaultRowHeight="14.4" x14ac:dyDescent="0.3"/>
  <cols>
    <col min="2" max="2" width="8.88671875" customWidth="1"/>
    <col min="3" max="3" width="41.5546875" customWidth="1"/>
    <col min="4" max="9" width="8.88671875" customWidth="1"/>
    <col min="10" max="10" width="23.88671875" customWidth="1"/>
    <col min="11" max="11" width="9.44140625" customWidth="1"/>
    <col min="12" max="14" width="8.88671875" customWidth="1"/>
    <col min="15" max="15" width="25.33203125" customWidth="1"/>
    <col min="16" max="16" width="12.109375" customWidth="1"/>
    <col min="17" max="37" width="8.88671875" customWidth="1"/>
    <col min="39" max="39" width="33.6640625" customWidth="1"/>
    <col min="40" max="40" width="17.6640625" customWidth="1"/>
    <col min="41" max="41" width="26.6640625" customWidth="1"/>
    <col min="42" max="42" width="21.5546875" customWidth="1"/>
    <col min="43" max="43" width="11.6640625" customWidth="1"/>
    <col min="44" max="44" width="17.5546875" customWidth="1"/>
    <col min="45" max="45" width="12" customWidth="1"/>
    <col min="46" max="46" width="12.33203125" customWidth="1"/>
    <col min="47" max="47" width="11.44140625" customWidth="1"/>
    <col min="48" max="48" width="13.33203125" customWidth="1"/>
    <col min="49" max="50" width="14.33203125" customWidth="1"/>
    <col min="51" max="51" width="16.44140625" customWidth="1"/>
    <col min="52" max="52" width="13.6640625" customWidth="1"/>
    <col min="53" max="53" width="8.88671875" customWidth="1"/>
    <col min="54" max="54" width="12.6640625" customWidth="1"/>
    <col min="55" max="55" width="8.88671875" customWidth="1"/>
    <col min="63" max="63" width="96.44140625" customWidth="1"/>
  </cols>
  <sheetData>
    <row r="1" spans="2:63" ht="15" thickBot="1" x14ac:dyDescent="0.35"/>
    <row r="2" spans="2:63" x14ac:dyDescent="0.3">
      <c r="B2" s="44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</row>
    <row r="3" spans="2:63" x14ac:dyDescent="0.3">
      <c r="B3" s="47"/>
      <c r="C3" t="s">
        <v>487</v>
      </c>
      <c r="AM3" t="s">
        <v>489</v>
      </c>
    </row>
    <row r="4" spans="2:63" ht="15" thickBot="1" x14ac:dyDescent="0.35">
      <c r="B4" s="47"/>
      <c r="C4" t="s">
        <v>508</v>
      </c>
    </row>
    <row r="5" spans="2:63" ht="15" thickBot="1" x14ac:dyDescent="0.35">
      <c r="B5" s="47"/>
      <c r="C5" s="105" t="s">
        <v>135</v>
      </c>
      <c r="D5">
        <v>2017</v>
      </c>
      <c r="E5">
        <v>2018</v>
      </c>
      <c r="F5">
        <v>2019</v>
      </c>
      <c r="G5">
        <v>2020</v>
      </c>
      <c r="H5">
        <v>2021</v>
      </c>
      <c r="AE5" s="66"/>
      <c r="AI5" s="21" t="s">
        <v>131</v>
      </c>
      <c r="AM5" s="105" t="s">
        <v>135</v>
      </c>
      <c r="AN5">
        <v>2017</v>
      </c>
      <c r="AO5">
        <v>2018</v>
      </c>
      <c r="AP5">
        <v>2019</v>
      </c>
      <c r="AQ5">
        <v>2020</v>
      </c>
      <c r="AR5">
        <v>2021</v>
      </c>
      <c r="BK5" t="s">
        <v>479</v>
      </c>
    </row>
    <row r="6" spans="2:63" x14ac:dyDescent="0.3">
      <c r="B6" s="47"/>
      <c r="C6" t="s">
        <v>480</v>
      </c>
      <c r="D6">
        <f>VLOOKUP($C$5,'Rúbricas BP Dimensão aplicável'!$B$2:$AA$157,2,FALSE)</f>
        <v>0</v>
      </c>
      <c r="E6">
        <f>VLOOKUP($C$5,'Rúbricas BP Dimensão aplicável'!$B$2:$AA$157,7,FALSE)</f>
        <v>0.01</v>
      </c>
      <c r="F6">
        <f>VLOOKUP($C$5,'Rúbricas BP Dimensão aplicável'!$B$2:$AA$157,12,FALSE)</f>
        <v>-4.93</v>
      </c>
      <c r="G6">
        <f>VLOOKUP($C$5,'Rúbricas BP Dimensão aplicável'!$B$2:$AA$157,17,FALSE)</f>
        <v>-1.86</v>
      </c>
      <c r="H6">
        <f>VLOOKUP($C$5,'Rúbricas BP Dimensão aplicável'!$B$2:$AA$157,22,FALSE)</f>
        <v>0</v>
      </c>
      <c r="AE6" t="s">
        <v>95</v>
      </c>
      <c r="AI6" s="21" t="s">
        <v>94</v>
      </c>
      <c r="AM6" t="s">
        <v>483</v>
      </c>
      <c r="AN6" s="36" t="e">
        <f>VLOOKUP($AM$5,$AM$12:$BB$35,4,FALSE)</f>
        <v>#DIV/0!</v>
      </c>
      <c r="AO6" s="36">
        <f>VLOOKUP($AM$5,$AM$12:$BB$35,7,FALSE)</f>
        <v>8.7027914614121515E-2</v>
      </c>
      <c r="AP6" s="36">
        <f>VLOOKUP($AM$5,$AM$12:$BB$35,10,FALSE)</f>
        <v>7.5844155844155839E-2</v>
      </c>
      <c r="AQ6" s="36">
        <f>VLOOKUP($AM$5,$AM$12:$BB$35,13,FALSE)</f>
        <v>-1.7391304347826087E-2</v>
      </c>
      <c r="AR6" s="36">
        <f>VLOOKUP($AM$5,$AM$12:$BB$35,16,FALSE)</f>
        <v>0.14414414414414414</v>
      </c>
      <c r="BK6" s="96" t="s">
        <v>189</v>
      </c>
    </row>
    <row r="7" spans="2:63" x14ac:dyDescent="0.3">
      <c r="B7" s="47"/>
      <c r="C7" t="s">
        <v>481</v>
      </c>
      <c r="D7">
        <f>VLOOKUP($C$5,'Rúbricas BP Dimensão aplicável'!$B$2:$AA$157,3,FALSE)</f>
        <v>0</v>
      </c>
      <c r="E7">
        <f>VLOOKUP($C$5,'Rúbricas BP Dimensão aplicável'!$B$2:$AA$157,8,FALSE)</f>
        <v>8.8000000000000007</v>
      </c>
      <c r="F7">
        <f>VLOOKUP($C$5,'Rúbricas BP Dimensão aplicável'!$B$2:$AA$157,13,FALSE)</f>
        <v>3.27</v>
      </c>
      <c r="G7">
        <f>VLOOKUP($C$5,'Rúbricas BP Dimensão aplicável'!$B$2:$AA$157,18,FALSE)</f>
        <v>3.73</v>
      </c>
      <c r="H7">
        <f>VLOOKUP($C$5,'Rúbricas BP Dimensão aplicável'!$B$2:$AA$157,23,FALSE)</f>
        <v>8.9600000000000009</v>
      </c>
      <c r="O7" s="47"/>
      <c r="AE7" t="s">
        <v>112</v>
      </c>
      <c r="AI7" s="21" t="s">
        <v>119</v>
      </c>
      <c r="AM7" t="s">
        <v>484</v>
      </c>
      <c r="AN7" s="36" t="e">
        <f>VLOOKUP($AM$5,$AM$12:$BB$35,3,FALSE)</f>
        <v>#DIV/0!</v>
      </c>
      <c r="AO7" s="36">
        <f>VLOOKUP($AM$5,$AM$12:$BB$35,6,FALSE)</f>
        <v>0.1110062893081761</v>
      </c>
      <c r="AP7" s="36">
        <f>VLOOKUP($AM$5,$AM$12:$BB$35,9,FALSE)</f>
        <v>1.7336485421591805E-2</v>
      </c>
      <c r="AQ7" s="36">
        <f>VLOOKUP($AM$5,$AM$12:$BB$35,12,FALSE)</f>
        <v>2.0202808112324493E-2</v>
      </c>
      <c r="AR7" s="36">
        <f>VLOOKUP($AM$5,$AM$12:$BB$35,15,FALSE)</f>
        <v>0.14386459802538787</v>
      </c>
      <c r="BE7" s="21"/>
      <c r="BK7" s="102" t="s">
        <v>194</v>
      </c>
    </row>
    <row r="8" spans="2:63" x14ac:dyDescent="0.3">
      <c r="B8" s="47"/>
      <c r="C8" t="s">
        <v>482</v>
      </c>
      <c r="D8">
        <f>VLOOKUP($C$5,'Rúbricas BP Dimensão aplicável'!$B$2:$AA$157,4,FALSE)</f>
        <v>0</v>
      </c>
      <c r="E8">
        <f>VLOOKUP($C$5,'Rúbricas BP Dimensão aplicável'!$B$2:$AA$157,9,FALSE)</f>
        <v>34.68</v>
      </c>
      <c r="F8">
        <f>VLOOKUP($C$5,'Rúbricas BP Dimensão aplicável'!$B$2:$AA$157,14,FALSE)</f>
        <v>21.94</v>
      </c>
      <c r="G8">
        <f>VLOOKUP($C$5,'Rúbricas BP Dimensão aplicável'!$B$2:$AA$157,19,FALSE)</f>
        <v>13.05</v>
      </c>
      <c r="H8">
        <f>VLOOKUP($C$5,'Rúbricas BP Dimensão aplicável'!$B$2:$AA$157,24,FALSE)</f>
        <v>33.01</v>
      </c>
      <c r="O8" s="47" t="s">
        <v>336</v>
      </c>
      <c r="P8" t="s">
        <v>335</v>
      </c>
      <c r="AE8" s="66" t="s">
        <v>111</v>
      </c>
      <c r="AI8" s="21" t="s">
        <v>121</v>
      </c>
      <c r="AM8" t="s">
        <v>138</v>
      </c>
      <c r="AN8" s="36">
        <f>VLOOKUP($AM$5,Indicadores!$A$3:$G$31,3,FALSE)</f>
        <v>6.8160768436231034E-2</v>
      </c>
      <c r="AO8" s="36">
        <f>VLOOKUP($AM$5,Indicadores!$A$3:$G$31,4,FALSE)</f>
        <v>9.161377993512243E-2</v>
      </c>
      <c r="AP8" s="36">
        <f>VLOOKUP($AM$5,Indicadores!$A$3:$G$31,5,FALSE)</f>
        <v>8.9216359825743677E-2</v>
      </c>
      <c r="AQ8" s="36">
        <f>VLOOKUP($AM$5,Indicadores!$A$3:$G$31,6,FALSE)</f>
        <v>2.3236841706566425E-2</v>
      </c>
      <c r="AR8" s="36">
        <f>VLOOKUP($AM$5,Indicadores!$A$3:$G$31,7,FALSE)</f>
        <v>0.14800246248309576</v>
      </c>
      <c r="BK8" s="96" t="s">
        <v>195</v>
      </c>
    </row>
    <row r="9" spans="2:63" ht="24.6" x14ac:dyDescent="0.55000000000000004">
      <c r="B9" s="47"/>
      <c r="C9" t="s">
        <v>483</v>
      </c>
      <c r="D9">
        <f>VLOOKUP($C$5,'Rúbricas BP Dimensão aplicável'!$B$2:$AA$157,5,FALSE)</f>
        <v>0</v>
      </c>
      <c r="E9">
        <f>VLOOKUP($C$5,'Rúbricas BP Dimensão aplicável'!$B$2:$AA$157,10,FALSE)</f>
        <v>8.69</v>
      </c>
      <c r="F9">
        <f>VLOOKUP($C$5,'Rúbricas BP Dimensão aplicável'!$B$2:$AA$157,15,FALSE)</f>
        <v>7.58</v>
      </c>
      <c r="G9">
        <f>VLOOKUP($C$5,'Rúbricas BP Dimensão aplicável'!$B$2:$AA$157,20,FALSE)</f>
        <v>-1.72</v>
      </c>
      <c r="H9">
        <f>VLOOKUP($C$5,'Rúbricas BP Dimensão aplicável'!$B$2:$AA$157,25,FALSE)</f>
        <v>14.4</v>
      </c>
      <c r="O9" s="47" t="s">
        <v>330</v>
      </c>
      <c r="P9" s="110" t="s">
        <v>512</v>
      </c>
      <c r="AE9" s="66" t="s">
        <v>110</v>
      </c>
      <c r="AI9" s="21" t="s">
        <v>99</v>
      </c>
      <c r="BE9" s="21"/>
      <c r="BK9" s="96" t="s">
        <v>202</v>
      </c>
    </row>
    <row r="10" spans="2:63" ht="24.6" x14ac:dyDescent="0.55000000000000004">
      <c r="B10" s="47"/>
      <c r="C10" t="s">
        <v>484</v>
      </c>
      <c r="D10">
        <f>VLOOKUP($C$5,'Rúbricas BP Todas as dimensões'!$B$2:$AA$157,5,FALSE)</f>
        <v>0</v>
      </c>
      <c r="E10">
        <f>VLOOKUP($C$5,'Rúbricas BP Todas as dimensões'!$B$2:$AA$157,10,FALSE)</f>
        <v>11.1</v>
      </c>
      <c r="F10" s="71">
        <f>VLOOKUP($C$5,'Rúbricas BP Todas as dimensões'!$B$2:$AA$157,15,FALSE)</f>
        <v>1.74</v>
      </c>
      <c r="G10">
        <f>VLOOKUP($C$5,'Rúbricas BP Todas as dimensões'!$B$2:$AA$157,20,FALSE)</f>
        <v>2.02</v>
      </c>
      <c r="H10">
        <f>VLOOKUP($C$5,'Rúbricas BP Todas as dimensões'!$B$2:$AA$157,25,FALSE)</f>
        <v>14.39</v>
      </c>
      <c r="O10" s="47" t="s">
        <v>332</v>
      </c>
      <c r="P10" s="110" t="s">
        <v>513</v>
      </c>
      <c r="AE10" t="s">
        <v>109</v>
      </c>
      <c r="AI10" s="21" t="s">
        <v>96</v>
      </c>
      <c r="BK10" s="102" t="s">
        <v>203</v>
      </c>
    </row>
    <row r="11" spans="2:63" ht="24.6" x14ac:dyDescent="0.55000000000000004">
      <c r="B11" s="47"/>
      <c r="C11" t="s">
        <v>138</v>
      </c>
      <c r="D11" s="71">
        <f>VLOOKUP($C$5,Indicadores!$A$3:$G$31,3,FALSE)*100</f>
        <v>6.8160768436231036</v>
      </c>
      <c r="E11" s="71">
        <f>VLOOKUP($C$5,Indicadores!$A$3:$G$31,4,FALSE)*100</f>
        <v>9.161377993512243</v>
      </c>
      <c r="F11" s="71">
        <f>VLOOKUP($C$5,Indicadores!$A$3:$G$31,5,FALSE)*100</f>
        <v>8.921635982574367</v>
      </c>
      <c r="G11" s="71">
        <f>VLOOKUP($C$5,Indicadores!$A$3:$G$31,6,FALSE)*100</f>
        <v>2.3236841706566427</v>
      </c>
      <c r="H11" s="71">
        <f>VLOOKUP($C$5,Indicadores!$A$3:$G$31,7,FALSE)*100</f>
        <v>14.800246248309575</v>
      </c>
      <c r="O11" s="47" t="s">
        <v>333</v>
      </c>
      <c r="P11" s="110" t="s">
        <v>514</v>
      </c>
      <c r="AE11" t="s">
        <v>127</v>
      </c>
      <c r="AI11" s="25" t="s">
        <v>103</v>
      </c>
      <c r="AM11" t="s">
        <v>509</v>
      </c>
      <c r="BE11" s="21"/>
      <c r="BK11" s="96" t="s">
        <v>210</v>
      </c>
    </row>
    <row r="12" spans="2:63" ht="24.6" x14ac:dyDescent="0.55000000000000004">
      <c r="B12" s="47"/>
      <c r="O12" s="47" t="s">
        <v>331</v>
      </c>
      <c r="P12" s="110" t="s">
        <v>515</v>
      </c>
      <c r="AE12" s="66" t="s">
        <v>123</v>
      </c>
      <c r="AI12" s="21" t="s">
        <v>135</v>
      </c>
      <c r="AN12" s="21" t="s">
        <v>493</v>
      </c>
      <c r="AO12" s="31" t="s">
        <v>491</v>
      </c>
      <c r="AP12" s="31" t="s">
        <v>492</v>
      </c>
      <c r="AQ12" s="21" t="s">
        <v>494</v>
      </c>
      <c r="AR12" s="31" t="s">
        <v>495</v>
      </c>
      <c r="AS12" s="31" t="s">
        <v>496</v>
      </c>
      <c r="AT12" s="21" t="s">
        <v>497</v>
      </c>
      <c r="AU12" s="31" t="s">
        <v>498</v>
      </c>
      <c r="AV12" s="31" t="s">
        <v>499</v>
      </c>
      <c r="AW12" s="21" t="s">
        <v>500</v>
      </c>
      <c r="AX12" s="31" t="s">
        <v>501</v>
      </c>
      <c r="AY12" s="31" t="s">
        <v>502</v>
      </c>
      <c r="AZ12" s="21" t="s">
        <v>503</v>
      </c>
      <c r="BA12" s="31" t="s">
        <v>504</v>
      </c>
      <c r="BB12" s="31" t="s">
        <v>505</v>
      </c>
      <c r="BE12" s="21"/>
      <c r="BK12" s="102" t="s">
        <v>213</v>
      </c>
    </row>
    <row r="13" spans="2:63" x14ac:dyDescent="0.3">
      <c r="B13" s="47"/>
      <c r="E13">
        <v>0</v>
      </c>
      <c r="F13" t="s">
        <v>330</v>
      </c>
      <c r="G13" s="48">
        <v>0</v>
      </c>
      <c r="O13" s="47"/>
      <c r="AE13" s="66" t="s">
        <v>99</v>
      </c>
      <c r="AM13" s="66" t="s">
        <v>321</v>
      </c>
      <c r="AN13" s="22">
        <f>Comparação!$D$5</f>
        <v>8.4831708091884714E-2</v>
      </c>
      <c r="AO13" s="30" t="e">
        <f>Comparação!$D$6</f>
        <v>#DIV/0!</v>
      </c>
      <c r="AP13" s="30" t="e">
        <f>Comparação!$D$86</f>
        <v>#DIV/0!</v>
      </c>
      <c r="AQ13" s="22">
        <f>Comparação!$E$5</f>
        <v>0.10916296336326162</v>
      </c>
      <c r="AR13" s="30">
        <f>Comparação!$E$6</f>
        <v>7.9248075784487865E-2</v>
      </c>
      <c r="AS13" s="30">
        <f>Comparação!$E$86</f>
        <v>7.983023443815683E-2</v>
      </c>
      <c r="AT13" s="22">
        <f>Comparação!$F$5</f>
        <v>9.4553430696491886E-2</v>
      </c>
      <c r="AU13" s="30">
        <f>Comparação!$F$6</f>
        <v>4.7272087293206616E-2</v>
      </c>
      <c r="AV13" s="30">
        <f>Comparação!$F$86</f>
        <v>7.9139880292618051E-2</v>
      </c>
      <c r="AW13" s="22">
        <f>Comparação!$G$5</f>
        <v>5.3908954454453852E-2</v>
      </c>
      <c r="AX13" s="30">
        <f>Comparação!$G$6</f>
        <v>5.5251684502576295E-2</v>
      </c>
      <c r="AY13" s="30">
        <f>Comparação!$G$86</f>
        <v>3.8461538461538464E-2</v>
      </c>
      <c r="AZ13" s="22">
        <f>Comparação!$H$5</f>
        <v>0.18201777115387138</v>
      </c>
      <c r="BA13" s="30">
        <f>Comparação!$H$6</f>
        <v>7.7359307359307364E-2</v>
      </c>
      <c r="BB13" s="30">
        <f>Comparação!$H$86</f>
        <v>9.4654788418708238E-2</v>
      </c>
      <c r="BE13" s="21"/>
      <c r="BK13" s="102" t="s">
        <v>214</v>
      </c>
    </row>
    <row r="14" spans="2:63" ht="20.399999999999999" x14ac:dyDescent="0.45">
      <c r="B14" s="47"/>
      <c r="C14" t="s">
        <v>485</v>
      </c>
      <c r="D14">
        <f>H11</f>
        <v>14.800246248309575</v>
      </c>
      <c r="E14">
        <f>H6</f>
        <v>0</v>
      </c>
      <c r="F14" t="s">
        <v>332</v>
      </c>
      <c r="G14" s="48">
        <f>G13+ 0.25 + 0.125</f>
        <v>0.375</v>
      </c>
      <c r="O14" s="67" t="e">
        <f>VLOOKUP(F19,O9:P12,2,0)</f>
        <v>#N/A</v>
      </c>
      <c r="AE14" t="s">
        <v>90</v>
      </c>
      <c r="AM14" t="s">
        <v>95</v>
      </c>
      <c r="AN14" s="22">
        <f>Comparação!$D$8</f>
        <v>0.42098864618320297</v>
      </c>
      <c r="AO14" s="30" t="e">
        <f>Comparação!$D$9</f>
        <v>#DIV/0!</v>
      </c>
      <c r="AP14" s="30" t="e">
        <f>Comparação!$D$89</f>
        <v>#DIV/0!</v>
      </c>
      <c r="AQ14" s="22">
        <f>Comparação!$E$8</f>
        <v>0.38431359941972343</v>
      </c>
      <c r="AR14" s="30">
        <f>Comparação!$E$9</f>
        <v>0.20100651272942568</v>
      </c>
      <c r="AS14" s="30">
        <f>Comparação!$E$89</f>
        <v>0.26455133387227164</v>
      </c>
      <c r="AT14" s="22">
        <f>Comparação!$F$8</f>
        <v>0.42194310318420136</v>
      </c>
      <c r="AU14" s="30">
        <f>Comparação!$F$9</f>
        <v>0.19148187258007743</v>
      </c>
      <c r="AV14" s="30">
        <f>Comparação!$F$89</f>
        <v>0.29572156949678563</v>
      </c>
      <c r="AW14" s="22">
        <f>Comparação!$G$8</f>
        <v>0.40476953407076688</v>
      </c>
      <c r="AX14" s="30">
        <f>Comparação!$G$9</f>
        <v>0.26397146254458975</v>
      </c>
      <c r="AY14" s="30">
        <f>Comparação!$G$89</f>
        <v>0.25987525987525989</v>
      </c>
      <c r="AZ14" s="22">
        <f>Comparação!$H$8</f>
        <v>0.44951075206217089</v>
      </c>
      <c r="BA14" s="30">
        <f>Comparação!$H$9</f>
        <v>0.20346320346320346</v>
      </c>
      <c r="BB14" s="30">
        <f>Comparação!$H$89</f>
        <v>0.27426026089723193</v>
      </c>
      <c r="BE14" s="27"/>
      <c r="BH14" s="21"/>
      <c r="BK14" s="96" t="s">
        <v>215</v>
      </c>
    </row>
    <row r="15" spans="2:63" x14ac:dyDescent="0.3">
      <c r="B15" s="47"/>
      <c r="D15" t="str">
        <f>VLOOKUP(D14,E13:G16,2,1)</f>
        <v>Moderadamente forte</v>
      </c>
      <c r="E15">
        <f>H7</f>
        <v>8.9600000000000009</v>
      </c>
      <c r="F15" t="s">
        <v>333</v>
      </c>
      <c r="G15" s="48">
        <f>G14+ 0.25</f>
        <v>0.625</v>
      </c>
      <c r="O15" s="47"/>
      <c r="AE15" t="s">
        <v>114</v>
      </c>
      <c r="AM15" s="66" t="s">
        <v>99</v>
      </c>
      <c r="AN15" s="22">
        <f>Comparação!$D$11</f>
        <v>4.4651377108608711E-2</v>
      </c>
      <c r="AO15" s="30" t="e">
        <f>Comparação!$D$12</f>
        <v>#DIV/0!</v>
      </c>
      <c r="AP15" s="30" t="e">
        <f>Comparação!$D$92</f>
        <v>#DIV/0!</v>
      </c>
      <c r="AQ15" s="22">
        <f>Comparação!$E$11</f>
        <v>7.0914748862189417E-2</v>
      </c>
      <c r="AR15" s="30">
        <f>Comparação!$E$12</f>
        <v>4.1799881586737718E-2</v>
      </c>
      <c r="AS15" s="30">
        <f>Comparação!$E$92</f>
        <v>4.1799881586737718E-2</v>
      </c>
      <c r="AT15" s="22">
        <f>Comparação!$F$11</f>
        <v>6.8964427259887051E-2</v>
      </c>
      <c r="AU15" s="30">
        <f>Comparação!$F$12</f>
        <v>7.743752199929602E-3</v>
      </c>
      <c r="AV15" s="30">
        <f>Comparação!$F$92</f>
        <v>3.2365329195300378E-2</v>
      </c>
      <c r="AW15" s="22">
        <f>Comparação!$G$11</f>
        <v>2.0072413721197713E-2</v>
      </c>
      <c r="AX15" s="30">
        <f>Comparação!$G$12</f>
        <v>1.0265556876734047E-2</v>
      </c>
      <c r="AY15" s="30">
        <f>Comparação!$G$92</f>
        <v>1.0265556876734047E-2</v>
      </c>
      <c r="AZ15" s="22">
        <f>Comparação!U21</f>
        <v>0</v>
      </c>
      <c r="BA15" s="30">
        <f>Comparação!$H$12</f>
        <v>4.4155844155844157E-2</v>
      </c>
      <c r="BB15" s="30">
        <f>Comparação!$H$92</f>
        <v>5.3452115812917596E-2</v>
      </c>
      <c r="BE15" s="21"/>
      <c r="BH15" s="21"/>
      <c r="BK15" s="102" t="s">
        <v>217</v>
      </c>
    </row>
    <row r="16" spans="2:63" x14ac:dyDescent="0.3">
      <c r="B16" s="47"/>
      <c r="D16">
        <f>VLOOKUP(D14,E13:G16,3.1)</f>
        <v>0.625</v>
      </c>
      <c r="E16">
        <f>H8</f>
        <v>33.01</v>
      </c>
      <c r="F16" t="s">
        <v>331</v>
      </c>
      <c r="G16" s="48">
        <f>G15+ 0.25</f>
        <v>0.875</v>
      </c>
      <c r="AE16" s="66" t="s">
        <v>115</v>
      </c>
      <c r="AM16" t="s">
        <v>90</v>
      </c>
      <c r="AN16" s="22">
        <f>Comparação!$D$14</f>
        <v>0.33498891945565801</v>
      </c>
      <c r="AO16" s="37" t="e">
        <f>Comparação!$D$15</f>
        <v>#VALUE!</v>
      </c>
      <c r="AP16" s="37" t="e">
        <f>Comparação!$D$95</f>
        <v>#VALUE!</v>
      </c>
      <c r="AQ16" s="22">
        <f>Comparação!$E$14</f>
        <v>0.3112095886348043</v>
      </c>
      <c r="AR16" s="37" t="e">
        <f>Comparação!$E$15</f>
        <v>#VALUE!</v>
      </c>
      <c r="AS16" s="37" t="e">
        <f>Comparação!$E$95</f>
        <v>#VALUE!</v>
      </c>
      <c r="AT16" s="22">
        <f>Comparação!$F$14</f>
        <v>0.32109557003397066</v>
      </c>
      <c r="AU16" s="37" t="e">
        <f>Comparação!$F$15</f>
        <v>#VALUE!</v>
      </c>
      <c r="AV16" s="37" t="e">
        <f>Comparação!$F$95</f>
        <v>#VALUE!</v>
      </c>
      <c r="AW16" s="22">
        <f>Comparação!$G$14</f>
        <v>0.28613804815694566</v>
      </c>
      <c r="AX16" s="37" t="e">
        <f>Comparação!$G$15</f>
        <v>#VALUE!</v>
      </c>
      <c r="AY16" s="37" t="e">
        <f>Comparação!$G$95</f>
        <v>#VALUE!</v>
      </c>
      <c r="AZ16" s="22">
        <f>Comparação!$H$14</f>
        <v>0.37059793923453527</v>
      </c>
      <c r="BA16" s="37" t="e">
        <f>Comparação!$H$15</f>
        <v>#VALUE!</v>
      </c>
      <c r="BB16" s="37" t="e">
        <f>Comparação!$H$95</f>
        <v>#VALUE!</v>
      </c>
      <c r="BK16" s="96" t="s">
        <v>218</v>
      </c>
    </row>
    <row r="17" spans="2:63" x14ac:dyDescent="0.3">
      <c r="B17" s="47"/>
      <c r="D17">
        <v>0.01</v>
      </c>
      <c r="AE17" t="s">
        <v>135</v>
      </c>
      <c r="AM17" s="66" t="s">
        <v>323</v>
      </c>
      <c r="AN17" s="22">
        <f>Comparação!$D$17</f>
        <v>4.694698603858901E-2</v>
      </c>
      <c r="AO17" s="30" t="e">
        <f>Comparação!$D$18</f>
        <v>#DIV/0!</v>
      </c>
      <c r="AP17" s="30" t="e">
        <f>Comparação!$D$98</f>
        <v>#DIV/0!</v>
      </c>
      <c r="AQ17" s="22">
        <f>Comparação!$E$17</f>
        <v>6.6916432358693365E-2</v>
      </c>
      <c r="AR17" s="30">
        <f>Comparação!$E$18</f>
        <v>5.3182674199623352E-2</v>
      </c>
      <c r="AS17" s="30">
        <f>Comparação!$E$98</f>
        <v>4.1897233201581029E-2</v>
      </c>
      <c r="AT17" s="22">
        <f>Comparação!$F$17</f>
        <v>6.7738547517142464E-2</v>
      </c>
      <c r="AU17" s="30">
        <f>Comparação!$F$18</f>
        <v>8.1814801041279282E-3</v>
      </c>
      <c r="AV17" s="30">
        <f>Comparação!$F$98</f>
        <v>3.2942238267148018E-2</v>
      </c>
      <c r="AW17" s="22">
        <f>Comparação!$G$17</f>
        <v>1.3018180321032963E-2</v>
      </c>
      <c r="AX17" s="30">
        <f>Comparação!$G$18</f>
        <v>9.6210995542347702E-3</v>
      </c>
      <c r="AY17" s="30">
        <f>Comparação!$G$98</f>
        <v>-8.7597053553653201E-3</v>
      </c>
      <c r="AZ17" s="22">
        <f>Comparação!$H$17</f>
        <v>8.561181386526856E-2</v>
      </c>
      <c r="BA17" s="30">
        <f>Comparação!$H$18</f>
        <v>7.1578947368421048E-2</v>
      </c>
      <c r="BB17" s="30">
        <f>Comparação!$H$98</f>
        <v>7.0043777360850532E-2</v>
      </c>
      <c r="BK17" s="102" t="s">
        <v>219</v>
      </c>
    </row>
    <row r="18" spans="2:63" x14ac:dyDescent="0.3">
      <c r="B18" s="47"/>
      <c r="D18" s="57">
        <f>200%-SUM(D16:D17)</f>
        <v>1.365</v>
      </c>
      <c r="AE18" s="66" t="s">
        <v>129</v>
      </c>
      <c r="AM18" s="66" t="s">
        <v>101</v>
      </c>
      <c r="AN18" s="22">
        <f>Comparação!$D$21</f>
        <v>1.0514118282264067</v>
      </c>
      <c r="AO18" s="30" t="e">
        <f>Comparação!$D$22</f>
        <v>#DIV/0!</v>
      </c>
      <c r="AP18" s="30" t="e">
        <f>Comparação!$D$102</f>
        <v>#DIV/0!</v>
      </c>
      <c r="AQ18" s="22">
        <f>Comparação!$E$21</f>
        <v>0.94361798402098129</v>
      </c>
      <c r="AR18" s="30">
        <f>Comparação!$E$22</f>
        <v>1.272316384180791</v>
      </c>
      <c r="AS18" s="30">
        <f>Comparação!$E$102</f>
        <v>1.3038208168642951</v>
      </c>
      <c r="AT18" s="22">
        <f>Comparação!$F$21</f>
        <v>0.98222446279260833</v>
      </c>
      <c r="AU18" s="30">
        <f>Comparação!$F$22</f>
        <v>1.0565265898103384</v>
      </c>
      <c r="AV18" s="30">
        <f>Comparação!$F$102</f>
        <v>1.0178249097472925</v>
      </c>
      <c r="AW18" s="22">
        <f>Comparação!$G$21</f>
        <v>0.64856078107262993</v>
      </c>
      <c r="AX18" s="30">
        <f>Comparação!$G$22</f>
        <v>0.93722139673105498</v>
      </c>
      <c r="AY18" s="30">
        <f>Comparação!$G$102</f>
        <v>0.95759506271152695</v>
      </c>
      <c r="AZ18" s="22">
        <f>Comparação!$H$21</f>
        <v>0.86157394393290576</v>
      </c>
      <c r="BA18" s="30">
        <f>Comparação!$H$22</f>
        <v>1.6210526315789473</v>
      </c>
      <c r="BB18" s="30">
        <f>Comparação!$H$102</f>
        <v>1.3104023347925786</v>
      </c>
      <c r="BE18" s="98"/>
      <c r="BK18" s="96" t="s">
        <v>220</v>
      </c>
    </row>
    <row r="19" spans="2:63" x14ac:dyDescent="0.3">
      <c r="B19" s="47"/>
      <c r="AE19" s="66" t="s">
        <v>454</v>
      </c>
      <c r="AM19" t="s">
        <v>109</v>
      </c>
      <c r="AN19" s="22">
        <f>Comparação!$D$24</f>
        <v>0.23302754026037881</v>
      </c>
      <c r="AO19" s="30" t="e">
        <f>Comparação!$D$25</f>
        <v>#DIV/0!</v>
      </c>
      <c r="AP19" s="30" t="e">
        <f>Comparação!$D$105</f>
        <v>#DIV/0!</v>
      </c>
      <c r="AQ19" s="22">
        <f>Comparação!$E$24</f>
        <v>0.23905654424290027</v>
      </c>
      <c r="AR19" s="30">
        <f>Comparação!$E$25</f>
        <v>5.1213735938425105E-2</v>
      </c>
      <c r="AS19" s="30">
        <f>Comparação!$E$105</f>
        <v>8.3468067906224741E-2</v>
      </c>
      <c r="AT19" s="22">
        <f>Comparação!$F$24</f>
        <v>0.22054066073336789</v>
      </c>
      <c r="AU19" s="30">
        <f>Comparação!$F$25</f>
        <v>6.4378739880323832E-2</v>
      </c>
      <c r="AV19" s="30">
        <f>Comparação!$F$105</f>
        <v>0.1110618488140102</v>
      </c>
      <c r="AW19" s="22">
        <f>Comparação!$G$24</f>
        <v>0.2344247476391596</v>
      </c>
      <c r="AX19" s="30">
        <f>Comparação!$G$25</f>
        <v>7.043202536662703E-2</v>
      </c>
      <c r="AY19" s="30">
        <f>Comparação!$G$105</f>
        <v>0.1</v>
      </c>
      <c r="AZ19" s="22">
        <f>Comparação!$H$24</f>
        <v>0.20130980104280588</v>
      </c>
      <c r="BA19" s="30">
        <f>Comparação!$H$25</f>
        <v>4.3268398268398268E-2</v>
      </c>
      <c r="BB19" s="30">
        <f>Comparação!$H$105</f>
        <v>7.4610244988864149E-2</v>
      </c>
      <c r="BE19" s="98"/>
      <c r="BK19" s="102" t="s">
        <v>224</v>
      </c>
    </row>
    <row r="20" spans="2:63" x14ac:dyDescent="0.3">
      <c r="B20" s="47"/>
      <c r="AE20" s="66" t="s">
        <v>101</v>
      </c>
      <c r="AM20" s="66" t="s">
        <v>110</v>
      </c>
      <c r="AN20" s="22">
        <f>Comparação!$D$27</f>
        <v>8.6147442214230194E-2</v>
      </c>
      <c r="AO20" s="30" t="e">
        <f>Comparação!$D$28</f>
        <v>#DIV/0!</v>
      </c>
      <c r="AP20" s="30" t="e">
        <f>Comparação!$D$108</f>
        <v>#DIV/0!</v>
      </c>
      <c r="AQ20" s="22">
        <f>Comparação!$E$27</f>
        <v>8.7179918050274086E-2</v>
      </c>
      <c r="AR20" s="30">
        <f>Comparação!$E$28</f>
        <v>9.5441089402013027E-2</v>
      </c>
      <c r="AS20" s="30">
        <f>Comparação!$E$108</f>
        <v>0.11196443007275667</v>
      </c>
      <c r="AT20" s="22">
        <f>Comparação!$F$27</f>
        <v>9.2108303554561219E-2</v>
      </c>
      <c r="AU20" s="30">
        <f>Comparação!$F$28</f>
        <v>0.10566701865540302</v>
      </c>
      <c r="AV20" s="30">
        <f>Comparação!$F$108</f>
        <v>0.11948570161826647</v>
      </c>
      <c r="AW20" s="22">
        <f>Comparação!$G$27</f>
        <v>0.12904371320848471</v>
      </c>
      <c r="AX20" s="30">
        <f>Comparação!$G$28</f>
        <v>0.11236623067776456</v>
      </c>
      <c r="AY20" s="30">
        <f>Comparação!$G$108</f>
        <v>0.11538461538461539</v>
      </c>
      <c r="AZ20" s="22">
        <f>Comparação!$H$27</f>
        <v>9.99016672698885E-2</v>
      </c>
      <c r="BA20" s="30">
        <f>Comparação!$H$28</f>
        <v>7.7532467532467536E-2</v>
      </c>
      <c r="BB20" s="30">
        <f>Comparação!$H$108</f>
        <v>0.10308622335348393</v>
      </c>
      <c r="BK20" s="96" t="s">
        <v>226</v>
      </c>
    </row>
    <row r="21" spans="2:63" x14ac:dyDescent="0.3">
      <c r="B21" s="47"/>
      <c r="D21" t="s">
        <v>486</v>
      </c>
      <c r="AE21" s="66" t="s">
        <v>456</v>
      </c>
      <c r="AM21" t="s">
        <v>112</v>
      </c>
      <c r="AN21" s="22">
        <f>Comparação!$D$30</f>
        <v>0.57901135381679703</v>
      </c>
      <c r="AO21" s="30" t="e">
        <f>Comparação!$D$31</f>
        <v>#DIV/0!</v>
      </c>
      <c r="AP21" s="30" t="e">
        <f>Comparação!$D$111</f>
        <v>#DIV/0!</v>
      </c>
      <c r="AQ21" s="22">
        <f>Comparação!$E$30</f>
        <v>0.61568640058027657</v>
      </c>
      <c r="AR21" s="30">
        <f>Comparação!$E$31</f>
        <v>0.79899348727057429</v>
      </c>
      <c r="AS21" s="30">
        <f>Comparação!$E$111</f>
        <v>0.73544866612772841</v>
      </c>
      <c r="AT21" s="22">
        <f>Comparação!$F$30</f>
        <v>0.57805689681579864</v>
      </c>
      <c r="AU21" s="30">
        <f>Comparação!$F$31</f>
        <v>0.80851812741992257</v>
      </c>
      <c r="AV21" s="30">
        <f>Comparação!$F$111</f>
        <v>0.70427843050321437</v>
      </c>
      <c r="AW21" s="22">
        <f>Comparação!$G$30</f>
        <v>0.59523046592923312</v>
      </c>
      <c r="AX21" s="30">
        <f>Comparação!$G$31</f>
        <v>0.73602853745541019</v>
      </c>
      <c r="AY21" s="30">
        <f>Comparação!$G$111</f>
        <v>0.74012474012474017</v>
      </c>
      <c r="AZ21" s="22">
        <f>Comparação!$H$30</f>
        <v>0.55048924793782905</v>
      </c>
      <c r="BA21" s="30">
        <f>Comparação!$H$31</f>
        <v>0.79653679653679654</v>
      </c>
      <c r="BB21" s="30">
        <f>Comparação!$H$111</f>
        <v>0.72573973910276801</v>
      </c>
      <c r="BK21" s="102" t="s">
        <v>227</v>
      </c>
    </row>
    <row r="22" spans="2:63" x14ac:dyDescent="0.3">
      <c r="B22" s="47"/>
      <c r="D22" t="s">
        <v>488</v>
      </c>
      <c r="O22" t="e">
        <f>VLOOKUP('Backend dashboard rentabilidade'!J90,'Backend dashboard rentabilidade'!O9:P12,2,2)</f>
        <v>#N/A</v>
      </c>
      <c r="AE22" s="66"/>
      <c r="AM22" s="66" t="s">
        <v>111</v>
      </c>
      <c r="AN22" s="22">
        <f>Comparação!$D$33</f>
        <v>0.8981863362914061</v>
      </c>
      <c r="AO22" s="30" t="e">
        <f>Comparação!$D$34</f>
        <v>#DIV/0!</v>
      </c>
      <c r="AP22" s="30" t="e">
        <f>Comparação!$D$114</f>
        <v>#DIV/0!</v>
      </c>
      <c r="AQ22" s="22">
        <f>Comparação!$E$33</f>
        <v>0.94192286287345095</v>
      </c>
      <c r="AR22" s="30">
        <f>Comparação!$E$34</f>
        <v>0.94564831261101245</v>
      </c>
      <c r="AS22" s="30">
        <f>Comparação!$E$114</f>
        <v>0.93088116410670974</v>
      </c>
      <c r="AT22" s="22">
        <f>Comparação!$F$33</f>
        <v>0.89070586110372774</v>
      </c>
      <c r="AU22" s="30">
        <f>Comparação!$F$34</f>
        <v>0.97856388595564947</v>
      </c>
      <c r="AV22" s="30">
        <f>Comparação!$F$114</f>
        <v>0.93482598093549107</v>
      </c>
      <c r="AW22" s="22">
        <f>Comparação!$G$33</f>
        <v>0.95869892677687751</v>
      </c>
      <c r="AX22" s="30">
        <f>Comparação!$G$34</f>
        <v>0.91882679349980179</v>
      </c>
      <c r="AY22" s="30">
        <f>Comparação!$G$114</f>
        <v>0.95550935550935556</v>
      </c>
      <c r="AZ22" s="22">
        <f>Comparação!$H$33</f>
        <v>0.85170071625052346</v>
      </c>
      <c r="BA22" s="30">
        <f>Comparação!$H$34</f>
        <v>0.91733766233766234</v>
      </c>
      <c r="BB22" s="30">
        <f>Comparação!$H$114</f>
        <v>0.9034362074451161</v>
      </c>
      <c r="BE22" s="21"/>
      <c r="BK22" s="96" t="s">
        <v>228</v>
      </c>
    </row>
    <row r="23" spans="2:63" x14ac:dyDescent="0.3">
      <c r="B23" s="47"/>
      <c r="D23" t="s">
        <v>490</v>
      </c>
      <c r="AE23" s="66"/>
      <c r="AM23" t="s">
        <v>114</v>
      </c>
      <c r="AN23" s="29">
        <f>Comparação!$D$36</f>
        <v>64.441929962468592</v>
      </c>
      <c r="AO23" s="33">
        <f>Comparação!$D$37</f>
        <v>0</v>
      </c>
      <c r="AP23" s="33">
        <f>Comparação!$D$117</f>
        <v>0</v>
      </c>
      <c r="AQ23" s="29">
        <f>Comparação!$E$36</f>
        <v>53.528273552540981</v>
      </c>
      <c r="AR23" s="33">
        <f>Comparação!$E$37</f>
        <v>34</v>
      </c>
      <c r="AS23" s="33">
        <f>Comparação!$E$117</f>
        <v>36</v>
      </c>
      <c r="AT23" s="29">
        <f>Comparação!$F$36</f>
        <v>41.743900420711832</v>
      </c>
      <c r="AU23" s="33">
        <f>Comparação!$F$37</f>
        <v>37</v>
      </c>
      <c r="AV23" s="33">
        <f>Comparação!$F$117</f>
        <v>68</v>
      </c>
      <c r="AW23" s="29">
        <f>Comparação!$G$36</f>
        <v>83.322624516067137</v>
      </c>
      <c r="AX23" s="33">
        <f>Comparação!$G$37</f>
        <v>40</v>
      </c>
      <c r="AY23" s="33">
        <f>Comparação!$G$117</f>
        <v>65</v>
      </c>
      <c r="AZ23" s="29">
        <f>Comparação!$H$36</f>
        <v>54.06430636326192</v>
      </c>
      <c r="BA23" s="33">
        <f>Comparação!$H$37</f>
        <v>25</v>
      </c>
      <c r="BB23" s="33">
        <f>Comparação!$H$117</f>
        <v>44</v>
      </c>
      <c r="BK23" s="102" t="s">
        <v>236</v>
      </c>
    </row>
    <row r="24" spans="2:63" x14ac:dyDescent="0.3">
      <c r="B24" s="47"/>
      <c r="D24" t="s">
        <v>506</v>
      </c>
      <c r="AM24" s="66" t="s">
        <v>115</v>
      </c>
      <c r="AN24" s="29">
        <f>Comparação!$D$39</f>
        <v>54.73664247762698</v>
      </c>
      <c r="AO24" s="33">
        <f>Comparação!$D$40</f>
        <v>0</v>
      </c>
      <c r="AP24" s="33">
        <f>Comparação!$D$120</f>
        <v>0</v>
      </c>
      <c r="AQ24" s="29">
        <f>Comparação!$E$39</f>
        <v>40.050145350812791</v>
      </c>
      <c r="AR24" s="33">
        <f>Comparação!$E$40</f>
        <v>34</v>
      </c>
      <c r="AS24" s="33">
        <f>Comparação!$E$120</f>
        <v>30</v>
      </c>
      <c r="AT24" s="29">
        <f>Comparação!$F$39</f>
        <v>52.354435125686585</v>
      </c>
      <c r="AU24" s="33">
        <f>Comparação!$F$40</f>
        <v>42</v>
      </c>
      <c r="AV24" s="33">
        <f>Comparação!$F$120</f>
        <v>50</v>
      </c>
      <c r="AW24" s="29">
        <f>Comparação!$G$39</f>
        <v>65.047193907417494</v>
      </c>
      <c r="AX24" s="33">
        <f>Comparação!$G$40</f>
        <v>50</v>
      </c>
      <c r="AY24" s="33">
        <f>Comparação!$G$120</f>
        <v>32</v>
      </c>
      <c r="AZ24" s="29">
        <f>Comparação!$H$39</f>
        <v>58.301957775141851</v>
      </c>
      <c r="BA24" s="33">
        <f>Comparação!$H$40</f>
        <v>33</v>
      </c>
      <c r="BB24" s="33">
        <f>Comparação!$H$120</f>
        <v>26</v>
      </c>
      <c r="BE24" s="21"/>
      <c r="BK24" s="96" t="s">
        <v>240</v>
      </c>
    </row>
    <row r="25" spans="2:63" x14ac:dyDescent="0.3">
      <c r="B25" s="47"/>
      <c r="D25" t="s">
        <v>507</v>
      </c>
      <c r="AE25" s="66"/>
      <c r="AM25" s="66" t="s">
        <v>456</v>
      </c>
      <c r="AN25" s="106">
        <f>Comparação!$D$122</f>
        <v>21367.446712328761</v>
      </c>
      <c r="AO25" s="107" t="e">
        <f>Comparação!$D$43</f>
        <v>#DIV/0!</v>
      </c>
      <c r="AP25" s="107" t="e">
        <f>Comparação!$D$123</f>
        <v>#DIV/0!</v>
      </c>
      <c r="AQ25" s="106">
        <f>Comparação!$E$122</f>
        <v>19676.290928571427</v>
      </c>
      <c r="AR25" s="107">
        <f>Comparação!$E$43</f>
        <v>41722.222222222219</v>
      </c>
      <c r="AS25" s="107">
        <f>Comparação!$E$123</f>
        <v>25000</v>
      </c>
      <c r="AT25" s="106">
        <f>Comparação!$F$122</f>
        <v>23802.161417322819</v>
      </c>
      <c r="AU25" s="107">
        <f>Comparação!$F$43</f>
        <v>33388.888888888891</v>
      </c>
      <c r="AV25" s="107">
        <f>Comparação!$F$123</f>
        <v>25166.666666666668</v>
      </c>
      <c r="AW25" s="106">
        <f>Comparação!$G$122</f>
        <v>19537.261481481481</v>
      </c>
      <c r="AX25" s="107">
        <f>Comparação!$G$43</f>
        <v>33955.555555555555</v>
      </c>
      <c r="AY25" s="107">
        <f>Comparação!$G$123</f>
        <v>23233.333333333332</v>
      </c>
      <c r="AZ25" s="106">
        <f>Comparação!$H$122</f>
        <v>32899.731073825518</v>
      </c>
      <c r="BA25" s="33">
        <f>Comparação!$H$43</f>
        <v>62444.444444444445</v>
      </c>
      <c r="BB25" s="33">
        <f>Comparação!$H$123</f>
        <v>33366.666666666664</v>
      </c>
      <c r="BE25" s="21"/>
      <c r="BK25" s="102" t="s">
        <v>242</v>
      </c>
    </row>
    <row r="26" spans="2:63" x14ac:dyDescent="0.3">
      <c r="B26" s="47"/>
      <c r="AM26" s="66" t="s">
        <v>454</v>
      </c>
      <c r="AN26" s="22">
        <f>Comparação!$D$125</f>
        <v>0.78659999999999997</v>
      </c>
      <c r="AO26" s="30" t="e">
        <f>Comparação!$D$46</f>
        <v>#DIV/0!</v>
      </c>
      <c r="AP26" s="30" t="e">
        <f>Comparação!$D$126</f>
        <v>#DIV/0!</v>
      </c>
      <c r="AQ26" s="22">
        <f>Comparação!$E$125</f>
        <v>0.83740000000000003</v>
      </c>
      <c r="AR26" s="30">
        <f>Comparação!$E$46</f>
        <v>9.9822380106571934E-2</v>
      </c>
      <c r="AS26" s="30">
        <f>Comparação!$E$126</f>
        <v>5.4365400161681489E-2</v>
      </c>
      <c r="AT26" s="22">
        <f>Comparação!$F$125</f>
        <v>0.91239999999999999</v>
      </c>
      <c r="AU26" s="30">
        <f>Comparação!$F$46</f>
        <v>0.12154605169780684</v>
      </c>
      <c r="AV26" s="30">
        <f>Comparação!$F$126</f>
        <v>8.5751288884461166E-2</v>
      </c>
      <c r="AW26" s="22">
        <f>Comparação!$G$125</f>
        <v>0.91290000000000004</v>
      </c>
      <c r="AX26" s="30">
        <f>Comparação!$G$46</f>
        <v>9.4357132071673039E-2</v>
      </c>
      <c r="AY26" s="30">
        <f>Comparação!$G$126</f>
        <v>8.3177228491798788E-2</v>
      </c>
      <c r="AZ26" s="22">
        <f>Comparação!$H$125</f>
        <v>0.93379999999999996</v>
      </c>
      <c r="BA26" s="30">
        <f>Comparação!$H$46</f>
        <v>9.480948694255055E-2</v>
      </c>
      <c r="BB26" s="30">
        <f>Comparação!$H$126</f>
        <v>9.6445990594898875E-2</v>
      </c>
      <c r="BK26" s="96" t="s">
        <v>244</v>
      </c>
    </row>
    <row r="27" spans="2:63" x14ac:dyDescent="0.3">
      <c r="B27" s="47"/>
      <c r="AE27" s="66"/>
      <c r="AM27" s="66" t="s">
        <v>119</v>
      </c>
      <c r="AN27" s="22">
        <f>Comparação!$D$49</f>
        <v>3.3279040817841121</v>
      </c>
      <c r="AO27" s="30" t="e">
        <f>Comparação!$D$50</f>
        <v>#DIV/0!</v>
      </c>
      <c r="AP27" s="30" t="e">
        <f>Comparação!$D$130</f>
        <v>#DIV/0!</v>
      </c>
      <c r="AQ27" s="22">
        <f>Comparação!$E$49</f>
        <v>3.6921379687761524</v>
      </c>
      <c r="AR27" s="30">
        <f>Comparação!$E$50</f>
        <v>1.2043758306921584</v>
      </c>
      <c r="AS27" s="30">
        <f>Comparação!$E$130</f>
        <v>1.6446886446886446</v>
      </c>
      <c r="AT27" s="22">
        <f>Comparação!$F$49</f>
        <v>3.3108491065906649</v>
      </c>
      <c r="AU27" s="30">
        <f>Comparação!$F$50</f>
        <v>1.7055499203014055</v>
      </c>
      <c r="AV27" s="30">
        <f>Comparação!$F$130</f>
        <v>1.4643734643734643</v>
      </c>
      <c r="AW27" s="22">
        <f>Comparação!$G$49</f>
        <v>1.550896543398441</v>
      </c>
      <c r="AX27" s="30">
        <f>Comparação!$G$50</f>
        <v>1.7434562987907547</v>
      </c>
      <c r="AY27" s="30">
        <f>Comparação!$G$130</f>
        <v>1.688337801608579</v>
      </c>
      <c r="AZ27" s="22">
        <f>Comparação!$H$49</f>
        <v>2.6558340888656571</v>
      </c>
      <c r="BA27" s="30">
        <f>Comparação!$H$50</f>
        <v>1.7176030962231417</v>
      </c>
      <c r="BB27" s="30">
        <f>Comparação!$H$130</f>
        <v>1.5859697386519944</v>
      </c>
      <c r="BE27" s="21"/>
      <c r="BK27" s="102" t="s">
        <v>249</v>
      </c>
    </row>
    <row r="28" spans="2:63" x14ac:dyDescent="0.3">
      <c r="B28" s="47"/>
      <c r="AM28" t="s">
        <v>121</v>
      </c>
      <c r="AN28" s="22">
        <f>Comparação!$D$52</f>
        <v>2.9005202723168235</v>
      </c>
      <c r="AO28" s="30" t="e">
        <f>Comparação!$D$53</f>
        <v>#DIV/0!</v>
      </c>
      <c r="AP28" s="30" t="e">
        <f>Comparação!$D$133</f>
        <v>#DIV/0!</v>
      </c>
      <c r="AQ28" s="22">
        <f>Comparação!$E$52</f>
        <v>3.1273952380375549</v>
      </c>
      <c r="AR28" s="30">
        <f>Comparação!$E$53</f>
        <v>0.72293221551988551</v>
      </c>
      <c r="AS28" s="30">
        <f>Comparação!$E$133</f>
        <v>1.2518315018315018</v>
      </c>
      <c r="AT28" s="22">
        <f>Comparação!$F$52</f>
        <v>2.9256799146473753</v>
      </c>
      <c r="AU28" s="30">
        <f>Comparação!$F$53</f>
        <v>0.9605854224025504</v>
      </c>
      <c r="AV28" s="30">
        <f>Comparação!$F$133</f>
        <v>1.1658476658476657</v>
      </c>
      <c r="AW28" s="22">
        <f>Comparação!$G$52</f>
        <v>1.3400343112494026</v>
      </c>
      <c r="AX28" s="30">
        <f>Comparação!$G$53</f>
        <v>1.1397520281647022</v>
      </c>
      <c r="AY28" s="30">
        <f>Comparação!$G$133</f>
        <v>1.396112600536193</v>
      </c>
      <c r="AZ28" s="22">
        <f>Comparação!$H$52</f>
        <v>1.6745807490337179</v>
      </c>
      <c r="BA28" s="30">
        <f>Comparação!$H$53</f>
        <v>1.2762578406512746</v>
      </c>
      <c r="BB28" s="30">
        <f>Comparação!$H$133</f>
        <v>1.3872077028885832</v>
      </c>
      <c r="BK28" s="96" t="s">
        <v>251</v>
      </c>
    </row>
    <row r="29" spans="2:63" x14ac:dyDescent="0.3">
      <c r="B29" s="47"/>
      <c r="I29" s="21" t="s">
        <v>131</v>
      </c>
      <c r="AM29" s="66" t="s">
        <v>123</v>
      </c>
      <c r="AN29" s="22">
        <f>Comparação!$D$55</f>
        <v>1.0688846665751894</v>
      </c>
      <c r="AO29" s="30" t="e">
        <f>Comparação!$D$56</f>
        <v>#DIV/0!</v>
      </c>
      <c r="AP29" s="30" t="e">
        <f>Comparação!$D$136</f>
        <v>#DIV/0!</v>
      </c>
      <c r="AQ29" s="22">
        <f>Comparação!$E$55</f>
        <v>1.5355406804137075</v>
      </c>
      <c r="AR29" s="30">
        <f>Comparação!$E$56</f>
        <v>0.16020856763112157</v>
      </c>
      <c r="AS29" s="30">
        <f>Comparação!$E$136</f>
        <v>0.37454212454212454</v>
      </c>
      <c r="AT29" s="22">
        <f>Comparação!$F$55</f>
        <v>1.2045406373130232</v>
      </c>
      <c r="AU29" s="30">
        <f>Comparação!$F$56</f>
        <v>0.18229242138820462</v>
      </c>
      <c r="AV29" s="30">
        <f>Comparação!$F$136</f>
        <v>0.4656019656019656</v>
      </c>
      <c r="AW29" s="22">
        <f>Comparação!$G$55</f>
        <v>0.37435502549748656</v>
      </c>
      <c r="AX29" s="30">
        <f>Comparação!$G$56</f>
        <v>0.25516607990203583</v>
      </c>
      <c r="AY29" s="30">
        <f>Comparação!$G$136</f>
        <v>0.69973190348525471</v>
      </c>
      <c r="AZ29" s="22">
        <f>Comparação!$H$55</f>
        <v>0.24765140991901755</v>
      </c>
      <c r="BA29" s="30">
        <f>Comparação!$H$56</f>
        <v>0.43093553983718136</v>
      </c>
      <c r="BB29" s="30">
        <f>Comparação!$H$136</f>
        <v>0.75378266850068776</v>
      </c>
      <c r="BK29" s="102" t="s">
        <v>252</v>
      </c>
    </row>
    <row r="30" spans="2:63" x14ac:dyDescent="0.3">
      <c r="B30" s="47"/>
      <c r="I30" s="21" t="s">
        <v>94</v>
      </c>
      <c r="AM30" s="66" t="s">
        <v>94</v>
      </c>
      <c r="AN30" s="22">
        <f>Comparação!$D$59</f>
        <v>0.68876843843847013</v>
      </c>
      <c r="AO30" s="30" t="e">
        <f>Comparação!$D$60</f>
        <v>#DIV/0!</v>
      </c>
      <c r="AP30" s="30" t="e">
        <f>Comparação!$D$140</f>
        <v>#DIV/0!</v>
      </c>
      <c r="AQ30" s="22">
        <f>Comparação!$E$59</f>
        <v>0.73041885626901493</v>
      </c>
      <c r="AR30" s="30">
        <f>Comparação!$E$60</f>
        <v>0.47909604519774013</v>
      </c>
      <c r="AS30" s="30">
        <f>Comparação!$E$140</f>
        <v>0.48142292490118577</v>
      </c>
      <c r="AT30" s="22">
        <f>Comparação!$F$59</f>
        <v>0.75926150371354073</v>
      </c>
      <c r="AU30" s="30">
        <f>Comparação!$F$60</f>
        <v>0.47192264782447008</v>
      </c>
      <c r="AV30" s="30">
        <f>Comparação!$F$140</f>
        <v>0.43434115523465705</v>
      </c>
      <c r="AW30" s="22">
        <f>Comparação!$G$59</f>
        <v>0.56023880032518347</v>
      </c>
      <c r="AX30" s="30">
        <f>Comparação!$G$60</f>
        <v>0.47622585438335807</v>
      </c>
      <c r="AY30" s="30">
        <f>Comparação!$G$140</f>
        <v>0.50368305793350587</v>
      </c>
      <c r="AZ30" s="22">
        <f>Comparação!$H$59</f>
        <v>0.5784485773339535</v>
      </c>
      <c r="BA30" s="30">
        <f>Comparação!$H$60</f>
        <v>0.49754385964912279</v>
      </c>
      <c r="BB30" s="30">
        <f>Comparação!$H$140</f>
        <v>0.48592870544090055</v>
      </c>
      <c r="BK30" s="96" t="s">
        <v>254</v>
      </c>
    </row>
    <row r="31" spans="2:63" x14ac:dyDescent="0.3">
      <c r="B31" s="47"/>
      <c r="I31" s="21" t="s">
        <v>119</v>
      </c>
      <c r="AM31" t="s">
        <v>127</v>
      </c>
      <c r="AN31" s="22">
        <f>Comparação!$D$62</f>
        <v>0.31123156156152992</v>
      </c>
      <c r="AO31" s="30" t="e">
        <f>Comparação!$D$63</f>
        <v>#DIV/0!</v>
      </c>
      <c r="AP31" s="30" t="e">
        <f>Comparação!$D$143</f>
        <v>#DIV/0!</v>
      </c>
      <c r="AQ31" s="22">
        <f>Comparação!$E$62</f>
        <v>0.26958114373098496</v>
      </c>
      <c r="AR31" s="30">
        <f>Comparação!$E$63</f>
        <v>0.52090395480225993</v>
      </c>
      <c r="AS31" s="30">
        <f>Comparação!$E$143</f>
        <v>0.51857707509881423</v>
      </c>
      <c r="AT31" s="22">
        <f>Comparação!$F$62</f>
        <v>0.24073849628645932</v>
      </c>
      <c r="AU31" s="30">
        <f>Comparação!$F$63</f>
        <v>0.52807735217552998</v>
      </c>
      <c r="AV31" s="30">
        <f>Comparação!$F$143</f>
        <v>0.56543321299638993</v>
      </c>
      <c r="AW31" s="22">
        <f>Comparação!$G$62</f>
        <v>0.43976119967481658</v>
      </c>
      <c r="AX31" s="30">
        <f>Comparação!$G$63</f>
        <v>0.52377414561664193</v>
      </c>
      <c r="AY31" s="30">
        <f>Comparação!$G$143</f>
        <v>0.49631694206649413</v>
      </c>
      <c r="AZ31" s="22">
        <f>Comparação!$H$62</f>
        <v>0.42155142266604645</v>
      </c>
      <c r="BA31" s="30">
        <f>Comparação!$H$63</f>
        <v>0.50245614035087716</v>
      </c>
      <c r="BB31" s="30">
        <f>Comparação!$H$143</f>
        <v>0.51386283093600171</v>
      </c>
      <c r="BK31" s="102" t="s">
        <v>255</v>
      </c>
    </row>
    <row r="32" spans="2:63" x14ac:dyDescent="0.3">
      <c r="B32" s="47"/>
      <c r="I32" s="21" t="s">
        <v>121</v>
      </c>
      <c r="AM32" s="66" t="s">
        <v>129</v>
      </c>
      <c r="AN32" s="22">
        <f>Comparação!$D$65</f>
        <v>3.2130417460965051</v>
      </c>
      <c r="AO32" s="30" t="e">
        <f>Comparação!$D$66</f>
        <v>#DIV/0!</v>
      </c>
      <c r="AP32" s="30" t="e">
        <f>Comparação!$D$146</f>
        <v>#DIV/0!</v>
      </c>
      <c r="AQ32" s="22">
        <f>Comparação!$E$65</f>
        <v>3.7094582586900069</v>
      </c>
      <c r="AR32" s="30">
        <f>Comparação!$E$66</f>
        <v>1.9197396963123645</v>
      </c>
      <c r="AS32" s="30">
        <f>Comparação!$E$146</f>
        <v>1.9283536585365855</v>
      </c>
      <c r="AT32" s="22">
        <f>Comparação!$F$65</f>
        <v>4.1538848810041626</v>
      </c>
      <c r="AU32" s="30">
        <f>Comparação!$F$66</f>
        <v>1.8936619718309859</v>
      </c>
      <c r="AV32" s="30">
        <f>Comparação!$F$146</f>
        <v>1.7685554668794892</v>
      </c>
      <c r="AW32" s="22">
        <f>Comparação!$G$65</f>
        <v>2.273961415285056</v>
      </c>
      <c r="AX32" s="30">
        <f>Comparação!$G$66</f>
        <v>1.9092198581560285</v>
      </c>
      <c r="AY32" s="30">
        <f>Comparação!$G$146</f>
        <v>2.0148415563578017</v>
      </c>
      <c r="AZ32" s="22">
        <f>Comparação!$H$65</f>
        <v>2.3721898355261897</v>
      </c>
      <c r="BA32" s="30">
        <f>Comparação!$H$66</f>
        <v>1.9902234636871508</v>
      </c>
      <c r="BB32" s="30">
        <f>Comparação!$H$146</f>
        <v>1.9460446247464502</v>
      </c>
      <c r="BK32" s="96" t="s">
        <v>256</v>
      </c>
    </row>
    <row r="33" spans="2:63" x14ac:dyDescent="0.3">
      <c r="B33" s="47"/>
      <c r="I33" s="21" t="s">
        <v>99</v>
      </c>
      <c r="AM33" t="s">
        <v>131</v>
      </c>
      <c r="AN33" s="22">
        <f>Comparação!$D$68</f>
        <v>0.11533289875039002</v>
      </c>
      <c r="AO33" s="30" t="e">
        <f>Comparação!$D$69</f>
        <v>#DIV/0!</v>
      </c>
      <c r="AP33" s="30" t="e">
        <f>Comparação!$D$149</f>
        <v>#DIV/0!</v>
      </c>
      <c r="AQ33" s="22">
        <f>Comparação!$E$68</f>
        <v>9.9316329838738615E-2</v>
      </c>
      <c r="AR33" s="30">
        <f>Comparação!$E$69</f>
        <v>0.42982652741046212</v>
      </c>
      <c r="AS33" s="30">
        <f>Comparação!$E$149</f>
        <v>0.36562499999999998</v>
      </c>
      <c r="AT33" s="22">
        <f>Comparação!$F$68</f>
        <v>5.6609746169564677E-2</v>
      </c>
      <c r="AU33" s="30">
        <f>Comparação!$F$69</f>
        <v>0.443176831943835</v>
      </c>
      <c r="AV33" s="30">
        <f>Comparação!$F$149</f>
        <v>0.38102893890675243</v>
      </c>
      <c r="AW33" s="22">
        <f>Comparação!$G$68</f>
        <v>0.18381541881348662</v>
      </c>
      <c r="AX33" s="30">
        <f>Comparação!$G$69</f>
        <v>0.43993010048055919</v>
      </c>
      <c r="AY33" s="30">
        <f>Comparação!$G$149</f>
        <v>0.32207931404072881</v>
      </c>
      <c r="AZ33" s="22">
        <f>Comparação!$H$68</f>
        <v>0.31224423229879961</v>
      </c>
      <c r="BA33" s="30">
        <f>Comparação!$H$69</f>
        <v>0.38307591907765937</v>
      </c>
      <c r="BB33" s="30">
        <f>Comparação!$H$149</f>
        <v>0.32707852193995379</v>
      </c>
      <c r="BK33" s="96" t="s">
        <v>261</v>
      </c>
    </row>
    <row r="34" spans="2:63" x14ac:dyDescent="0.3">
      <c r="B34" s="47"/>
      <c r="I34" s="21" t="s">
        <v>96</v>
      </c>
      <c r="AM34" s="66" t="s">
        <v>134</v>
      </c>
      <c r="AN34" s="22">
        <f>Comparação!$D$72</f>
        <v>4.888094574837322E-2</v>
      </c>
      <c r="AO34" s="30" t="e">
        <f>Comparação!$D$73</f>
        <v>#DIV/0!</v>
      </c>
      <c r="AP34" s="30" t="e">
        <f>Comparação!$D$153</f>
        <v>#DIV/0!</v>
      </c>
      <c r="AQ34" s="22">
        <f>Comparação!$E$72</f>
        <v>6.8153108599494347E-2</v>
      </c>
      <c r="AR34" s="30">
        <f>Comparação!$E$73</f>
        <v>6.3954802259887006E-2</v>
      </c>
      <c r="AS34" s="30">
        <f>Comparação!$E$153</f>
        <v>4.9275362318840582E-2</v>
      </c>
      <c r="AT34" s="22">
        <f>Comparação!$F$72</f>
        <v>6.8476970515392158E-2</v>
      </c>
      <c r="AU34" s="30">
        <f>Comparação!$F$73</f>
        <v>1.7776124953514317E-2</v>
      </c>
      <c r="AV34" s="30">
        <f>Comparação!$F$153</f>
        <v>3.9034296028880866E-2</v>
      </c>
      <c r="AW34" s="22">
        <f>Comparação!$G$72</f>
        <v>1.3231124137349412E-2</v>
      </c>
      <c r="AX34" s="30">
        <f>Comparação!$G$73</f>
        <v>1.7830609212481426E-2</v>
      </c>
      <c r="AY34" s="30">
        <f>Comparação!$G$153</f>
        <v>-3.9816842524387818E-3</v>
      </c>
      <c r="AZ34" s="22">
        <f>Comparação!$H$72</f>
        <v>8.7012361096377583E-2</v>
      </c>
      <c r="BA34" s="30">
        <f>Comparação!$H$73</f>
        <v>7.9122807017543859E-2</v>
      </c>
      <c r="BB34" s="30">
        <f>Comparação!$H$153</f>
        <v>7.3796122576610376E-2</v>
      </c>
      <c r="BK34" s="102" t="s">
        <v>257</v>
      </c>
    </row>
    <row r="35" spans="2:63" x14ac:dyDescent="0.3">
      <c r="B35" s="47"/>
      <c r="I35" s="25" t="s">
        <v>103</v>
      </c>
      <c r="AM35" t="s">
        <v>135</v>
      </c>
      <c r="AN35" s="22">
        <f>Comparação!$D$75</f>
        <v>6.8160768436231034E-2</v>
      </c>
      <c r="AO35" s="30" t="e">
        <f>Comparação!$D$76</f>
        <v>#DIV/0!</v>
      </c>
      <c r="AP35" s="30" t="e">
        <f>Comparação!$D$156</f>
        <v>#DIV/0!</v>
      </c>
      <c r="AQ35" s="22">
        <f>Comparação!$E$75</f>
        <v>9.161377993512243E-2</v>
      </c>
      <c r="AR35" s="30">
        <f>Comparação!$E$76</f>
        <v>0.1110062893081761</v>
      </c>
      <c r="AS35" s="30">
        <f>Comparação!$E$156</f>
        <v>8.7027914614121515E-2</v>
      </c>
      <c r="AT35" s="22">
        <f>Comparação!$F$75</f>
        <v>8.9216359825743677E-2</v>
      </c>
      <c r="AU35" s="30">
        <f>Comparação!$F$76</f>
        <v>1.7336485421591805E-2</v>
      </c>
      <c r="AV35" s="30">
        <f>Comparação!$F$156</f>
        <v>7.5844155844155839E-2</v>
      </c>
      <c r="AW35" s="22">
        <f>Comparação!$G$75</f>
        <v>2.3236841706566425E-2</v>
      </c>
      <c r="AX35" s="30">
        <f>Comparação!$G$76</f>
        <v>2.0202808112324493E-2</v>
      </c>
      <c r="AY35" s="30">
        <f>Comparação!$G$156</f>
        <v>-1.7391304347826087E-2</v>
      </c>
      <c r="AZ35" s="22">
        <f>Comparação!$H$75</f>
        <v>0.14800246248309576</v>
      </c>
      <c r="BA35" s="30">
        <f>Comparação!$H$76</f>
        <v>0.14386459802538787</v>
      </c>
      <c r="BB35" s="30">
        <f>Comparação!$H$156</f>
        <v>0.14414414414414414</v>
      </c>
      <c r="BK35" s="96" t="s">
        <v>258</v>
      </c>
    </row>
    <row r="36" spans="2:63" x14ac:dyDescent="0.3">
      <c r="B36" s="47"/>
      <c r="I36" s="21" t="s">
        <v>135</v>
      </c>
      <c r="AM36" s="8"/>
      <c r="BK36" s="102" t="s">
        <v>259</v>
      </c>
    </row>
    <row r="37" spans="2:63" x14ac:dyDescent="0.3">
      <c r="B37" s="47"/>
      <c r="AM37" s="10"/>
      <c r="BK37" s="102" t="s">
        <v>328</v>
      </c>
    </row>
    <row r="38" spans="2:63" ht="15" thickBot="1" x14ac:dyDescent="0.35">
      <c r="B38" s="47"/>
      <c r="AM38" s="4"/>
      <c r="BK38" s="96" t="s">
        <v>96</v>
      </c>
    </row>
    <row r="39" spans="2:63" ht="15" thickBot="1" x14ac:dyDescent="0.35">
      <c r="B39" s="47"/>
      <c r="AM39" s="105" t="s">
        <v>95</v>
      </c>
      <c r="AN39">
        <v>2017</v>
      </c>
      <c r="AO39">
        <v>2018</v>
      </c>
      <c r="AP39">
        <v>2019</v>
      </c>
      <c r="AQ39">
        <v>2020</v>
      </c>
      <c r="AR39">
        <v>2021</v>
      </c>
      <c r="BK39" s="96" t="s">
        <v>265</v>
      </c>
    </row>
    <row r="40" spans="2:63" x14ac:dyDescent="0.3">
      <c r="B40" s="47"/>
      <c r="AM40" t="s">
        <v>483</v>
      </c>
      <c r="AN40" s="36" t="e">
        <f>VLOOKUP($AM$39,$AM$12:$BB$35,4,FALSE)</f>
        <v>#DIV/0!</v>
      </c>
      <c r="AO40" s="36">
        <f>VLOOKUP($AM$39,$AM$12:$BB$35,7,FALSE)</f>
        <v>0.26455133387227164</v>
      </c>
      <c r="AP40" s="36">
        <f>VLOOKUP($AM$39,$AM$12:$BB$35,10,FALSE)</f>
        <v>0.29572156949678563</v>
      </c>
      <c r="AQ40" s="36">
        <f>VLOOKUP($AM$39,$AM$12:$BB$35,13,FALSE)</f>
        <v>0.25987525987525989</v>
      </c>
      <c r="AR40" s="36">
        <f>VLOOKUP($AM$39,$AM$12:$BB$35,16,FALSE)</f>
        <v>0.27426026089723193</v>
      </c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K40" s="102" t="s">
        <v>273</v>
      </c>
    </row>
    <row r="41" spans="2:63" x14ac:dyDescent="0.3">
      <c r="B41" s="47"/>
      <c r="AM41" t="s">
        <v>484</v>
      </c>
      <c r="AN41" s="36" t="e">
        <f>VLOOKUP($AM$39,$AM$12:$BB$35,3,FALSE)</f>
        <v>#DIV/0!</v>
      </c>
      <c r="AO41" s="36">
        <f>VLOOKUP($AM$39,$AM$12:$BB$35,6,FALSE)</f>
        <v>0.20100651272942568</v>
      </c>
      <c r="AP41" s="36">
        <f>VLOOKUP($AM$39,$AM$12:$BB$35,9,FALSE)</f>
        <v>0.19148187258007743</v>
      </c>
      <c r="AQ41" s="36">
        <f>VLOOKUP($AM$39,$AM$12:$BB$35,12,FALSE)</f>
        <v>0.26397146254458975</v>
      </c>
      <c r="AR41" s="36">
        <f>VLOOKUP($AM$39,$AM$12:$BB$35,15,FALSE)</f>
        <v>0.20346320346320346</v>
      </c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K41" s="96" t="s">
        <v>274</v>
      </c>
    </row>
    <row r="42" spans="2:63" ht="15" thickBot="1" x14ac:dyDescent="0.35">
      <c r="B42" s="47"/>
      <c r="AM42" t="s">
        <v>138</v>
      </c>
      <c r="AN42" s="36">
        <f>VLOOKUP($AM$39,Indicadores!$A$3:$G$31,3,FALSE)</f>
        <v>0.42098864618320297</v>
      </c>
      <c r="AO42" s="36">
        <f>VLOOKUP($AM$39,Indicadores!$A$3:$G$31,4,FALSE)</f>
        <v>0.38431359941972343</v>
      </c>
      <c r="AP42" s="36">
        <f>VLOOKUP($AM$39,Indicadores!$A$3:$G$31,5,FALSE)</f>
        <v>0.42194310318420136</v>
      </c>
      <c r="AQ42" s="36">
        <f>VLOOKUP($AM$39,Indicadores!$A$3:$G$31,6,FALSE)</f>
        <v>0.40476953407076688</v>
      </c>
      <c r="AR42" s="36">
        <f>VLOOKUP($AM$39,Indicadores!$A$3:$G$31,7,FALSE)</f>
        <v>0.44951075206217089</v>
      </c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K42" s="102" t="s">
        <v>275</v>
      </c>
    </row>
    <row r="43" spans="2:63" ht="15" thickBot="1" x14ac:dyDescent="0.35">
      <c r="B43" s="47"/>
      <c r="C43" s="105" t="s">
        <v>131</v>
      </c>
      <c r="D43">
        <v>2017</v>
      </c>
      <c r="E43">
        <v>2018</v>
      </c>
      <c r="F43">
        <v>2019</v>
      </c>
      <c r="G43">
        <v>2020</v>
      </c>
      <c r="H43">
        <v>2021</v>
      </c>
      <c r="K43">
        <v>0</v>
      </c>
      <c r="L43" t="s">
        <v>330</v>
      </c>
      <c r="M43" s="48">
        <v>0</v>
      </c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M43" t="s">
        <v>510</v>
      </c>
      <c r="AN43" s="71" t="e">
        <f>AN42-AN40</f>
        <v>#DIV/0!</v>
      </c>
      <c r="AO43" s="71">
        <f>AO42-AO40</f>
        <v>0.11976226554745178</v>
      </c>
      <c r="AP43" s="71">
        <f t="shared" ref="AP43" si="0">AP42-AP40</f>
        <v>0.12622153368741573</v>
      </c>
      <c r="AQ43" s="71">
        <f t="shared" ref="AQ43" si="1">AQ42-AQ40</f>
        <v>0.14489427419550699</v>
      </c>
      <c r="AR43" s="71">
        <f t="shared" ref="AR43" si="2">AR42-AR40</f>
        <v>0.17525049116493896</v>
      </c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K43" s="96" t="s">
        <v>276</v>
      </c>
    </row>
    <row r="44" spans="2:63" ht="15" x14ac:dyDescent="0.35">
      <c r="B44" s="47"/>
      <c r="C44" t="s">
        <v>480</v>
      </c>
      <c r="D44">
        <f>VLOOKUP($C$43,'Rúbricas BP Dimensão aplicável'!$B$2:$AA$157,2,FALSE)</f>
        <v>0</v>
      </c>
      <c r="E44">
        <f>VLOOKUP($C$43,'Rúbricas BP Dimensão aplicável'!$B$2:$AA$157,7,FALSE)</f>
        <v>0</v>
      </c>
      <c r="F44">
        <f>VLOOKUP($C$43,'Rúbricas BP Dimensão aplicável'!$B$2:$AA$157,12,FALSE)</f>
        <v>0</v>
      </c>
      <c r="G44">
        <f>VLOOKUP($C$43,'Rúbricas BP Dimensão aplicável'!$B$2:$AA$157,17,FALSE)</f>
        <v>0</v>
      </c>
      <c r="H44">
        <f>VLOOKUP($C$43,'Rúbricas BP Dimensão aplicável'!$B$2:$AA$157,22,FALSE)</f>
        <v>0</v>
      </c>
      <c r="J44" s="71">
        <f>H49</f>
        <v>31.22442322987996</v>
      </c>
      <c r="K44">
        <f>H44</f>
        <v>0</v>
      </c>
      <c r="L44" t="s">
        <v>332</v>
      </c>
      <c r="M44" s="48">
        <f>M43+ 0.25 + 0.125</f>
        <v>0.375</v>
      </c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112" t="str">
        <f>VLOOKUP(J45,'Backend dashboard rentabilidade'!O9:P12,2,0)</f>
        <v>Em comparação com o setor,  o desempenho da empresa no último ano da comparação foi moderadamente forte, figurando entre as 50% melhores da mesma dimensão.</v>
      </c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S44" s="104"/>
      <c r="AT44" s="90"/>
      <c r="AU44" s="104"/>
      <c r="AV44" s="104"/>
      <c r="AW44" s="90"/>
      <c r="AX44" s="104"/>
      <c r="AY44" s="104"/>
      <c r="AZ44" s="90"/>
      <c r="BA44" s="104"/>
      <c r="BB44" s="104"/>
      <c r="BK44" s="102" t="s">
        <v>158</v>
      </c>
    </row>
    <row r="45" spans="2:63" ht="15" thickBot="1" x14ac:dyDescent="0.35">
      <c r="B45" s="47"/>
      <c r="C45" t="s">
        <v>481</v>
      </c>
      <c r="D45">
        <f>VLOOKUP($C$43,'Rúbricas BP Dimensão aplicável'!$B$2:$AA$157,3,FALSE)</f>
        <v>0</v>
      </c>
      <c r="E45">
        <f>VLOOKUP($C$43,'Rúbricas BP Dimensão aplicável'!$B$2:$AA$157,8,FALSE)</f>
        <v>29.37</v>
      </c>
      <c r="F45">
        <f>VLOOKUP($C$43,'Rúbricas BP Dimensão aplicável'!$B$2:$AA$157,13,FALSE)</f>
        <v>26.03</v>
      </c>
      <c r="G45">
        <f>VLOOKUP($C$43,'Rúbricas BP Dimensão aplicável'!$B$2:$AA$157,18,FALSE)</f>
        <v>11.28</v>
      </c>
      <c r="H45">
        <f>VLOOKUP($C$43,'Rúbricas BP Dimensão aplicável'!$B$2:$AA$157,23,FALSE)</f>
        <v>7.37</v>
      </c>
      <c r="J45" s="108" t="str">
        <f>VLOOKUP(J44,K43:M46,2,1)</f>
        <v>Moderadamente forte</v>
      </c>
      <c r="K45">
        <f>H45</f>
        <v>7.37</v>
      </c>
      <c r="L45" t="s">
        <v>333</v>
      </c>
      <c r="M45" s="48">
        <f>M44+ 0.25</f>
        <v>0.625</v>
      </c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S45" s="90"/>
      <c r="AT45" s="90"/>
      <c r="AU45" s="90"/>
      <c r="AV45" s="90"/>
      <c r="AW45" s="90"/>
      <c r="AX45" s="90"/>
      <c r="AY45" s="90"/>
      <c r="AZ45" s="90"/>
      <c r="BA45" s="90"/>
      <c r="BB45" s="90"/>
      <c r="BK45" s="96" t="s">
        <v>277</v>
      </c>
    </row>
    <row r="46" spans="2:63" ht="15" thickBot="1" x14ac:dyDescent="0.35">
      <c r="B46" s="47"/>
      <c r="C46" t="s">
        <v>482</v>
      </c>
      <c r="D46">
        <f>VLOOKUP($C$43,'Rúbricas BP Dimensão aplicável'!$B$2:$AA$157,4,FALSE)</f>
        <v>0</v>
      </c>
      <c r="E46">
        <f>VLOOKUP($C$43,'Rúbricas BP Dimensão aplicável'!$B$2:$AA$157,9,FALSE)</f>
        <v>64.13</v>
      </c>
      <c r="F46">
        <f>VLOOKUP($C$43,'Rúbricas BP Dimensão aplicável'!$B$2:$AA$157,14,FALSE)</f>
        <v>70.66</v>
      </c>
      <c r="G46">
        <f>VLOOKUP($C$43,'Rúbricas BP Dimensão aplicável'!$B$2:$AA$157,19,FALSE)</f>
        <v>61.98</v>
      </c>
      <c r="H46">
        <f>VLOOKUP($C$43,'Rúbricas BP Dimensão aplicável'!$B$2:$AA$157,24,FALSE)</f>
        <v>57.73</v>
      </c>
      <c r="J46">
        <f>VLOOKUP(J44,K43:M46,3.1)</f>
        <v>0.625</v>
      </c>
      <c r="K46">
        <f>H46</f>
        <v>57.73</v>
      </c>
      <c r="L46" t="s">
        <v>331</v>
      </c>
      <c r="M46" s="48">
        <f>M45+ 0.25</f>
        <v>0.875</v>
      </c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M46" s="105" t="s">
        <v>90</v>
      </c>
      <c r="AN46">
        <v>2017</v>
      </c>
      <c r="AO46">
        <v>2018</v>
      </c>
      <c r="AP46">
        <v>2019</v>
      </c>
      <c r="AQ46">
        <v>2020</v>
      </c>
      <c r="AR46">
        <v>2021</v>
      </c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K46" s="102" t="s">
        <v>278</v>
      </c>
    </row>
    <row r="47" spans="2:63" x14ac:dyDescent="0.3">
      <c r="B47" s="47"/>
      <c r="C47" t="s">
        <v>483</v>
      </c>
      <c r="D47">
        <f>VLOOKUP($C$43,'Rúbricas BP Dimensão aplicável'!$B$2:$AA$157,5,FALSE)</f>
        <v>0</v>
      </c>
      <c r="E47">
        <f>VLOOKUP($C$43,'Rúbricas BP Dimensão aplicável'!$B$2:$AA$157,10,FALSE)</f>
        <v>36.57</v>
      </c>
      <c r="F47">
        <f>VLOOKUP($C$43,'Rúbricas BP Dimensão aplicável'!$B$2:$AA$157,15,FALSE)</f>
        <v>38.1</v>
      </c>
      <c r="G47">
        <f>VLOOKUP($C$43,'Rúbricas BP Dimensão aplicável'!$B$2:$AA$157,20,FALSE)</f>
        <v>32.200000000000003</v>
      </c>
      <c r="H47">
        <f>VLOOKUP($C$43,'Rúbricas BP Dimensão aplicável'!$B$2:$AA$157,25,FALSE)</f>
        <v>32.71</v>
      </c>
      <c r="J47">
        <v>0.01</v>
      </c>
      <c r="AM47" t="s">
        <v>483</v>
      </c>
      <c r="AN47" s="36" t="e">
        <f>VLOOKUP($AM$46,$AM$12:$BB$35,4,FALSE)</f>
        <v>#VALUE!</v>
      </c>
      <c r="AO47" s="36" t="e">
        <f>VLOOKUP($AM$46,$AM$12:$BB$35,7,FALSE)</f>
        <v>#VALUE!</v>
      </c>
      <c r="AP47" s="36" t="e">
        <f>VLOOKUP($AM$46,$AM$12:$BB$35,10,FALSE)</f>
        <v>#VALUE!</v>
      </c>
      <c r="AQ47" s="36" t="e">
        <f>VLOOKUP($AM$46,$AM$12:$BB$35,13,FALSE)</f>
        <v>#VALUE!</v>
      </c>
      <c r="AR47" s="36" t="e">
        <f>VLOOKUP($AM$46,$AM$12:$BB$35,16,FALSE)</f>
        <v>#VALUE!</v>
      </c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K47" s="96" t="s">
        <v>279</v>
      </c>
    </row>
    <row r="48" spans="2:63" x14ac:dyDescent="0.3">
      <c r="B48" s="47"/>
      <c r="C48" t="s">
        <v>484</v>
      </c>
      <c r="D48">
        <f>VLOOKUP($C$43,'Rúbricas BP Todas as dimensões'!$B$2:$AA$157,5,FALSE)</f>
        <v>0</v>
      </c>
      <c r="E48">
        <f>VLOOKUP($C$43,'Rúbricas BP Todas as dimensões'!$B$2:$AA$157,10,FALSE)</f>
        <v>42.98</v>
      </c>
      <c r="F48" s="71">
        <f>VLOOKUP($C$43,'Rúbricas BP Todas as dimensões'!$B$2:$AA$157,15,FALSE)</f>
        <v>44.32</v>
      </c>
      <c r="G48">
        <f>VLOOKUP($C$43,'Rúbricas BP Todas as dimensões'!$B$2:$AA$157,20,FALSE)</f>
        <v>44</v>
      </c>
      <c r="H48">
        <f>VLOOKUP($C$43,'Rúbricas BP Todas as dimensões'!$B$2:$AA$157,25,FALSE)</f>
        <v>38.31</v>
      </c>
      <c r="J48" s="57">
        <f>200%-SUM(J46:J47)</f>
        <v>1.365</v>
      </c>
      <c r="AM48" t="s">
        <v>484</v>
      </c>
      <c r="AN48" s="36" t="e">
        <f>VLOOKUP($AM$46,$AM$12:$BB$35,3,FALSE)</f>
        <v>#VALUE!</v>
      </c>
      <c r="AO48" s="36" t="e">
        <f>VLOOKUP($AM$46,$AM$12:$BB$35,6,FALSE)</f>
        <v>#VALUE!</v>
      </c>
      <c r="AP48" s="36" t="e">
        <f>VLOOKUP($AM$46,$AM$12:$BB$35,9,FALSE)</f>
        <v>#VALUE!</v>
      </c>
      <c r="AQ48" s="36" t="e">
        <f>VLOOKUP($AM$46,$AM$12:$BB$35,12,FALSE)</f>
        <v>#VALUE!</v>
      </c>
      <c r="AR48" s="36" t="e">
        <f>VLOOKUP($AM$46,$AM$12:$BB$35,15,FALSE)</f>
        <v>#VALUE!</v>
      </c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K48" s="96" t="s">
        <v>302</v>
      </c>
    </row>
    <row r="49" spans="2:63" x14ac:dyDescent="0.3">
      <c r="B49" s="47"/>
      <c r="C49" t="s">
        <v>138</v>
      </c>
      <c r="D49" s="71">
        <f>VLOOKUP($C$43,Indicadores!$A$3:$G$31,3,FALSE)*100</f>
        <v>11.533289875039001</v>
      </c>
      <c r="E49" s="71">
        <f>VLOOKUP($C$43,Indicadores!$A$3:$G$31,4,FALSE)*100</f>
        <v>9.9316329838738611</v>
      </c>
      <c r="F49" s="71">
        <f>VLOOKUP($C$43,Indicadores!$A$3:$G$31,5,FALSE)*100</f>
        <v>5.6609746169564676</v>
      </c>
      <c r="G49" s="71">
        <f>VLOOKUP($C$43,Indicadores!$A$3:$G$31,6,FALSE)*100</f>
        <v>18.38154188134866</v>
      </c>
      <c r="H49" s="71">
        <f>VLOOKUP($C$43,Indicadores!$A$3:$G$31,7,FALSE)*100</f>
        <v>31.22442322987996</v>
      </c>
      <c r="AM49" t="s">
        <v>138</v>
      </c>
      <c r="AN49" s="36">
        <f>VLOOKUP($AM$46,Indicadores!$A$3:$G$31,3,FALSE)</f>
        <v>0.33498891945565801</v>
      </c>
      <c r="AO49" s="36">
        <f>VLOOKUP($AM$46,Indicadores!$A$3:$G$31,4,FALSE)</f>
        <v>0.3112095886348043</v>
      </c>
      <c r="AP49" s="36">
        <f>VLOOKUP($AM$46,Indicadores!$A$3:$G$31,5,FALSE)</f>
        <v>0.32109557003397066</v>
      </c>
      <c r="AQ49" s="36">
        <f>VLOOKUP($AM$46,Indicadores!$A$3:$G$31,6,FALSE)</f>
        <v>0.28613804815694566</v>
      </c>
      <c r="AR49" s="36">
        <f>VLOOKUP($AM$46,Indicadores!$A$3:$G$31,7,FALSE)</f>
        <v>0.37059793923453527</v>
      </c>
      <c r="AS49" s="90"/>
      <c r="AT49" s="90"/>
      <c r="AU49" s="90"/>
      <c r="AV49" s="90"/>
      <c r="AW49" s="90"/>
      <c r="AX49" s="90"/>
      <c r="AY49" s="90"/>
      <c r="AZ49" s="90"/>
      <c r="BA49" s="90"/>
      <c r="BB49" s="90"/>
      <c r="BK49" s="102" t="s">
        <v>282</v>
      </c>
    </row>
    <row r="50" spans="2:63" x14ac:dyDescent="0.3">
      <c r="B50" s="47"/>
      <c r="C50" t="s">
        <v>510</v>
      </c>
      <c r="D50" s="71">
        <f>D49-D47</f>
        <v>11.533289875039001</v>
      </c>
      <c r="E50" s="71">
        <f>E49-E47</f>
        <v>-26.638367016126139</v>
      </c>
      <c r="F50" s="71">
        <f t="shared" ref="F50:H50" si="3">F49-F47</f>
        <v>-32.439025383043536</v>
      </c>
      <c r="G50" s="71">
        <f t="shared" si="3"/>
        <v>-13.818458118651343</v>
      </c>
      <c r="H50" s="71">
        <f t="shared" si="3"/>
        <v>-1.4855767701200406</v>
      </c>
      <c r="AM50" t="s">
        <v>510</v>
      </c>
      <c r="AN50" s="71" t="e">
        <f>AN49-AN47</f>
        <v>#VALUE!</v>
      </c>
      <c r="AO50" s="71" t="e">
        <f>AO49-AO47</f>
        <v>#VALUE!</v>
      </c>
      <c r="AP50" s="71" t="e">
        <f t="shared" ref="AP50" si="4">AP49-AP47</f>
        <v>#VALUE!</v>
      </c>
      <c r="AQ50" s="71" t="e">
        <f t="shared" ref="AQ50" si="5">AQ49-AQ47</f>
        <v>#VALUE!</v>
      </c>
      <c r="AR50" s="71" t="e">
        <f t="shared" ref="AR50" si="6">AR49-AR47</f>
        <v>#VALUE!</v>
      </c>
      <c r="AS50" s="90"/>
      <c r="AT50" s="90"/>
      <c r="AU50" s="90"/>
      <c r="AV50" s="90"/>
      <c r="AW50" s="90"/>
      <c r="AX50" s="90"/>
      <c r="AY50" s="90"/>
      <c r="AZ50" s="90"/>
      <c r="BA50" s="90"/>
      <c r="BB50" s="90"/>
      <c r="BK50" s="102"/>
    </row>
    <row r="51" spans="2:63" ht="15" thickBot="1" x14ac:dyDescent="0.35">
      <c r="B51" s="47"/>
      <c r="AN51" s="90"/>
      <c r="AO51" s="90"/>
      <c r="AP51" s="90"/>
      <c r="AQ51" s="90"/>
      <c r="AR51" s="90"/>
      <c r="AS51" s="90"/>
      <c r="AT51" s="90"/>
      <c r="AU51" s="90"/>
      <c r="AV51" s="90"/>
      <c r="AW51" s="90"/>
      <c r="AX51" s="90"/>
      <c r="AY51" s="90"/>
      <c r="AZ51" s="90"/>
      <c r="BA51" s="90"/>
      <c r="BB51" s="90"/>
      <c r="BK51" s="96" t="s">
        <v>283</v>
      </c>
    </row>
    <row r="52" spans="2:63" ht="15" thickBot="1" x14ac:dyDescent="0.35">
      <c r="B52" s="47"/>
      <c r="C52" s="105" t="s">
        <v>94</v>
      </c>
      <c r="D52">
        <v>2017</v>
      </c>
      <c r="E52">
        <v>2018</v>
      </c>
      <c r="F52">
        <v>2019</v>
      </c>
      <c r="G52">
        <v>2020</v>
      </c>
      <c r="H52">
        <v>2021</v>
      </c>
      <c r="K52">
        <v>0</v>
      </c>
      <c r="L52" t="s">
        <v>330</v>
      </c>
      <c r="M52" s="48">
        <v>0</v>
      </c>
      <c r="AM52" s="105" t="s">
        <v>112</v>
      </c>
      <c r="AN52">
        <v>2017</v>
      </c>
      <c r="AO52">
        <v>2018</v>
      </c>
      <c r="AP52">
        <v>2019</v>
      </c>
      <c r="AQ52">
        <v>2020</v>
      </c>
      <c r="AR52">
        <v>2021</v>
      </c>
      <c r="AS52" s="88"/>
      <c r="AT52" s="88"/>
      <c r="AU52" s="88"/>
      <c r="AV52" s="88"/>
      <c r="AW52" s="88"/>
      <c r="AX52" s="88"/>
      <c r="AY52" s="88"/>
      <c r="AZ52" s="88"/>
      <c r="BA52" s="88"/>
      <c r="BB52" s="88"/>
      <c r="BK52" s="102" t="s">
        <v>284</v>
      </c>
    </row>
    <row r="53" spans="2:63" x14ac:dyDescent="0.3">
      <c r="B53" s="47"/>
      <c r="C53" t="s">
        <v>480</v>
      </c>
      <c r="D53">
        <f>VLOOKUP($C$52,'Rúbricas BP Dimensão aplicável'!$B$2:$AA$157,2,FALSE)</f>
        <v>0</v>
      </c>
      <c r="E53">
        <f>VLOOKUP($C$52,'Rúbricas BP Dimensão aplicável'!$B$2:$AA$157,7,FALSE)</f>
        <v>12.49</v>
      </c>
      <c r="F53">
        <f>VLOOKUP($C$52,'Rúbricas BP Dimensão aplicável'!$B$2:$AA$157,12,FALSE)</f>
        <v>11.99</v>
      </c>
      <c r="G53">
        <f>VLOOKUP($C$52,'Rúbricas BP Dimensão aplicável'!$B$2:$AA$157,17,FALSE)</f>
        <v>13.33</v>
      </c>
      <c r="H53">
        <f>VLOOKUP($C$52,'Rúbricas BP Dimensão aplicável'!$B$2:$AA$157,22,FALSE)</f>
        <v>13.46</v>
      </c>
      <c r="J53" s="71">
        <f>H58</f>
        <v>57.844857733395351</v>
      </c>
      <c r="K53">
        <f>H53</f>
        <v>13.46</v>
      </c>
      <c r="L53" t="s">
        <v>332</v>
      </c>
      <c r="M53" s="48">
        <f>M52+ 0.25 + 0.125</f>
        <v>0.375</v>
      </c>
      <c r="AM53" t="s">
        <v>483</v>
      </c>
      <c r="AN53" s="36" t="e">
        <f>VLOOKUP($AM$5,$AM$12:$BB$35,4,FALSE)</f>
        <v>#DIV/0!</v>
      </c>
      <c r="AO53" s="36">
        <f>VLOOKUP($AM$5,$AM$12:$BB$35,7,FALSE)</f>
        <v>8.7027914614121515E-2</v>
      </c>
      <c r="AP53" s="36">
        <f>VLOOKUP($AM$5,$AM$12:$BB$35,10,FALSE)</f>
        <v>7.5844155844155839E-2</v>
      </c>
      <c r="AQ53" s="36">
        <f>VLOOKUP($AM$5,$AM$12:$BB$35,13,FALSE)</f>
        <v>-1.7391304347826087E-2</v>
      </c>
      <c r="AR53" s="36">
        <f>VLOOKUP($AM$5,$AM$12:$BB$35,16,FALSE)</f>
        <v>0.14414414414414414</v>
      </c>
      <c r="AS53" s="88"/>
      <c r="AT53" s="88"/>
      <c r="AU53" s="88"/>
      <c r="AV53" s="88"/>
      <c r="AW53" s="88"/>
      <c r="AX53" s="88"/>
      <c r="AY53" s="88"/>
      <c r="AZ53" s="88"/>
      <c r="BA53" s="88"/>
      <c r="BB53" s="88"/>
      <c r="BK53" s="102" t="s">
        <v>288</v>
      </c>
    </row>
    <row r="54" spans="2:63" x14ac:dyDescent="0.3">
      <c r="B54" s="47"/>
      <c r="C54" t="s">
        <v>481</v>
      </c>
      <c r="D54">
        <f>VLOOKUP($C$52,'Rúbricas BP Dimensão aplicável'!$B$2:$AA$157,3,FALSE)</f>
        <v>0</v>
      </c>
      <c r="E54">
        <f>VLOOKUP($C$52,'Rúbricas BP Dimensão aplicável'!$B$2:$AA$157,8,FALSE)</f>
        <v>41.56</v>
      </c>
      <c r="F54">
        <f>VLOOKUP($C$52,'Rúbricas BP Dimensão aplicável'!$B$2:$AA$157,13,FALSE)</f>
        <v>42.99</v>
      </c>
      <c r="G54">
        <f>VLOOKUP($C$52,'Rúbricas BP Dimensão aplicável'!$B$2:$AA$157,18,FALSE)</f>
        <v>49.6</v>
      </c>
      <c r="H54">
        <f>VLOOKUP($C$52,'Rúbricas BP Dimensão aplicável'!$B$2:$AA$157,23,FALSE)</f>
        <v>48.62</v>
      </c>
      <c r="J54" s="108" t="str">
        <f>VLOOKUP(J53,K52:M55,2,1)</f>
        <v>Moderadamente forte</v>
      </c>
      <c r="K54">
        <f>H54</f>
        <v>48.62</v>
      </c>
      <c r="L54" t="s">
        <v>333</v>
      </c>
      <c r="M54" s="48">
        <f>M53+ 0.25</f>
        <v>0.625</v>
      </c>
      <c r="AM54" t="s">
        <v>484</v>
      </c>
      <c r="AN54" s="36" t="e">
        <f>VLOOKUP($AM$5,$AM$12:$BB$35,3,FALSE)</f>
        <v>#DIV/0!</v>
      </c>
      <c r="AO54" s="36">
        <f>VLOOKUP($AM$5,$AM$12:$BB$35,6,FALSE)</f>
        <v>0.1110062893081761</v>
      </c>
      <c r="AP54" s="36">
        <f>VLOOKUP($AM$5,$AM$12:$BB$35,9,FALSE)</f>
        <v>1.7336485421591805E-2</v>
      </c>
      <c r="AQ54" s="36">
        <f>VLOOKUP($AM$5,$AM$12:$BB$35,12,FALSE)</f>
        <v>2.0202808112324493E-2</v>
      </c>
      <c r="AR54" s="36">
        <f>VLOOKUP($AM$5,$AM$12:$BB$35,15,FALSE)</f>
        <v>0.14386459802538787</v>
      </c>
      <c r="AS54" s="109"/>
      <c r="AT54" s="109"/>
      <c r="AU54" s="109"/>
      <c r="AV54" s="109"/>
      <c r="AW54" s="109"/>
      <c r="AX54" s="109"/>
      <c r="AY54" s="109"/>
      <c r="AZ54" s="109"/>
      <c r="BA54" s="88"/>
      <c r="BB54" s="88"/>
      <c r="BK54" s="96" t="s">
        <v>289</v>
      </c>
    </row>
    <row r="55" spans="2:63" ht="15" x14ac:dyDescent="0.35">
      <c r="B55" s="47"/>
      <c r="C55" t="s">
        <v>482</v>
      </c>
      <c r="D55">
        <f>VLOOKUP($C$52,'Rúbricas BP Dimensão aplicável'!$B$2:$AA$157,4,FALSE)</f>
        <v>0</v>
      </c>
      <c r="E55">
        <f>VLOOKUP($C$52,'Rúbricas BP Dimensão aplicável'!$B$2:$AA$157,9,FALSE)</f>
        <v>79.13</v>
      </c>
      <c r="F55">
        <f>VLOOKUP($C$52,'Rúbricas BP Dimensão aplicável'!$B$2:$AA$157,14,FALSE)</f>
        <v>74.02</v>
      </c>
      <c r="G55">
        <f>VLOOKUP($C$52,'Rúbricas BP Dimensão aplicável'!$B$2:$AA$157,19,FALSE)</f>
        <v>86.04</v>
      </c>
      <c r="H55">
        <f>VLOOKUP($C$52,'Rúbricas BP Dimensão aplicável'!$B$2:$AA$157,24,FALSE)</f>
        <v>81.709999999999994</v>
      </c>
      <c r="J55">
        <f>VLOOKUP(J53,K52:M55,3.1)</f>
        <v>0.625</v>
      </c>
      <c r="K55">
        <f>H55</f>
        <v>81.709999999999994</v>
      </c>
      <c r="L55" t="s">
        <v>331</v>
      </c>
      <c r="M55" s="48">
        <f>M54+ 0.25</f>
        <v>0.875</v>
      </c>
      <c r="X55" s="111" t="str">
        <f>VLOOKUP(J54,O9:P12,2,0)</f>
        <v>Em comparação com o setor,  o desempenho da empresa no último ano da comparação foi moderadamente forte, figurando entre as 50% melhores da mesma dimensão.</v>
      </c>
      <c r="AM55" t="s">
        <v>138</v>
      </c>
      <c r="AN55" s="36">
        <f>VLOOKUP($AM$5,Indicadores!$A$3:$G$31,3,FALSE)</f>
        <v>6.8160768436231034E-2</v>
      </c>
      <c r="AO55" s="36">
        <f>VLOOKUP($AM$5,Indicadores!$A$3:$G$31,4,FALSE)</f>
        <v>9.161377993512243E-2</v>
      </c>
      <c r="AP55" s="36">
        <f>VLOOKUP($AM$5,Indicadores!$A$3:$G$31,5,FALSE)</f>
        <v>8.9216359825743677E-2</v>
      </c>
      <c r="AQ55" s="36">
        <f>VLOOKUP($AM$5,Indicadores!$A$3:$G$31,6,FALSE)</f>
        <v>2.3236841706566425E-2</v>
      </c>
      <c r="AR55" s="36">
        <f>VLOOKUP($AM$5,Indicadores!$A$3:$G$31,7,FALSE)</f>
        <v>0.14800246248309576</v>
      </c>
      <c r="AS55" s="90"/>
      <c r="AT55" s="90"/>
      <c r="AU55" s="90"/>
      <c r="AV55" s="90"/>
      <c r="AW55" s="90"/>
      <c r="AX55" s="90"/>
      <c r="AY55" s="90"/>
      <c r="AZ55" s="90"/>
      <c r="BA55" s="90"/>
      <c r="BB55" s="90"/>
      <c r="BK55" s="96" t="s">
        <v>287</v>
      </c>
    </row>
    <row r="56" spans="2:63" ht="15" thickBot="1" x14ac:dyDescent="0.35">
      <c r="B56" s="47"/>
      <c r="C56" t="s">
        <v>483</v>
      </c>
      <c r="D56">
        <f>VLOOKUP($C$52,'Rúbricas BP Dimensão aplicável'!$B$2:$AA$157,5,FALSE)</f>
        <v>0</v>
      </c>
      <c r="E56">
        <f>VLOOKUP($C$52,'Rúbricas BP Dimensão aplicável'!$B$2:$AA$157,10,FALSE)</f>
        <v>48.13</v>
      </c>
      <c r="F56">
        <f>VLOOKUP($C$52,'Rúbricas BP Dimensão aplicável'!$B$2:$AA$157,15,FALSE)</f>
        <v>43.44</v>
      </c>
      <c r="G56">
        <f>VLOOKUP($C$52,'Rúbricas BP Dimensão aplicável'!$B$2:$AA$157,20,FALSE)</f>
        <v>50.36</v>
      </c>
      <c r="H56">
        <f>VLOOKUP($C$52,'Rúbricas BP Dimensão aplicável'!$B$2:$AA$157,25,FALSE)</f>
        <v>48.6</v>
      </c>
      <c r="J56">
        <v>0.01</v>
      </c>
      <c r="AM56" t="s">
        <v>510</v>
      </c>
      <c r="AN56" s="71" t="e">
        <f>AN55-AN53</f>
        <v>#DIV/0!</v>
      </c>
      <c r="AO56" s="71">
        <f>AO55-AO53</f>
        <v>4.5858653210009148E-3</v>
      </c>
      <c r="AP56" s="71">
        <f t="shared" ref="AP56" si="7">AP55-AP53</f>
        <v>1.3372203981587838E-2</v>
      </c>
      <c r="AQ56" s="71">
        <f t="shared" ref="AQ56" si="8">AQ55-AQ53</f>
        <v>4.0628146054392508E-2</v>
      </c>
      <c r="AR56" s="71">
        <f t="shared" ref="AR56" si="9">AR55-AR53</f>
        <v>3.8583183389516162E-3</v>
      </c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K56" s="102" t="s">
        <v>290</v>
      </c>
    </row>
    <row r="57" spans="2:63" ht="15" thickBot="1" x14ac:dyDescent="0.35">
      <c r="B57" s="47"/>
      <c r="C57" t="s">
        <v>484</v>
      </c>
      <c r="D57">
        <f>VLOOKUP($C$52,'Rúbricas BP Todas as dimensões'!$B$2:$AA$157,5,FALSE)</f>
        <v>0</v>
      </c>
      <c r="E57">
        <f>VLOOKUP($C$52,'Rúbricas BP Todas as dimensões'!$B$2:$AA$157,10,FALSE)</f>
        <v>47.91</v>
      </c>
      <c r="F57" s="71">
        <f>VLOOKUP($C$52,'Rúbricas BP Todas as dimensões'!$B$2:$AA$157,15,FALSE)</f>
        <v>47.18</v>
      </c>
      <c r="G57">
        <f>VLOOKUP($C$52,'Rúbricas BP Todas as dimensões'!$B$2:$AA$157,20,FALSE)</f>
        <v>47.62</v>
      </c>
      <c r="H57">
        <f>VLOOKUP($C$52,'Rúbricas BP Todas as dimensões'!$B$2:$AA$157,25,FALSE)</f>
        <v>49.76</v>
      </c>
      <c r="J57" s="57">
        <f>200%-SUM(J55:J56)</f>
        <v>1.365</v>
      </c>
      <c r="AM57" s="105" t="s">
        <v>110</v>
      </c>
      <c r="AN57">
        <v>2017</v>
      </c>
      <c r="AO57">
        <v>2018</v>
      </c>
      <c r="AP57">
        <v>2019</v>
      </c>
      <c r="AQ57">
        <v>2020</v>
      </c>
      <c r="AR57">
        <v>2021</v>
      </c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K57" s="96" t="s">
        <v>291</v>
      </c>
    </row>
    <row r="58" spans="2:63" x14ac:dyDescent="0.3">
      <c r="B58" s="47"/>
      <c r="C58" t="s">
        <v>138</v>
      </c>
      <c r="D58" s="71">
        <f>VLOOKUP($C$52,Indicadores!$A$3:$G$31,3,FALSE)*100</f>
        <v>68.876843843847013</v>
      </c>
      <c r="E58" s="71">
        <f>VLOOKUP($C$52,Indicadores!$A$3:$G$31,4,FALSE)*100</f>
        <v>73.04188562690149</v>
      </c>
      <c r="F58" s="71">
        <f>VLOOKUP($C$52,Indicadores!$A$3:$G$31,5,FALSE)*100</f>
        <v>75.926150371354069</v>
      </c>
      <c r="G58" s="71">
        <f>VLOOKUP($C$52,Indicadores!$A$3:$G$31,6,FALSE)*100</f>
        <v>56.023880032518349</v>
      </c>
      <c r="H58" s="71">
        <f>VLOOKUP($C$52,Indicadores!$A$3:$G$31,7,FALSE)*100</f>
        <v>57.844857733395351</v>
      </c>
      <c r="AM58" t="s">
        <v>483</v>
      </c>
      <c r="AN58" s="36" t="e">
        <f>VLOOKUP($AM$5,$AM$12:$BB$35,4,FALSE)</f>
        <v>#DIV/0!</v>
      </c>
      <c r="AO58" s="36">
        <f>VLOOKUP($AM$5,$AM$12:$BB$35,7,FALSE)</f>
        <v>8.7027914614121515E-2</v>
      </c>
      <c r="AP58" s="36">
        <f>VLOOKUP($AM$5,$AM$12:$BB$35,10,FALSE)</f>
        <v>7.5844155844155839E-2</v>
      </c>
      <c r="AQ58" s="36">
        <f>VLOOKUP($AM$5,$AM$12:$BB$35,13,FALSE)</f>
        <v>-1.7391304347826087E-2</v>
      </c>
      <c r="AR58" s="36">
        <f>VLOOKUP($AM$5,$AM$12:$BB$35,16,FALSE)</f>
        <v>0.14414414414414414</v>
      </c>
      <c r="AS58" s="90"/>
      <c r="AT58" s="90"/>
      <c r="AU58" s="90"/>
      <c r="AV58" s="90"/>
      <c r="AW58" s="90"/>
      <c r="AX58" s="90"/>
      <c r="AY58" s="90"/>
      <c r="AZ58" s="90"/>
      <c r="BA58" s="90"/>
      <c r="BB58" s="90"/>
      <c r="BK58" s="102" t="s">
        <v>292</v>
      </c>
    </row>
    <row r="59" spans="2:63" x14ac:dyDescent="0.3">
      <c r="B59" s="47"/>
      <c r="C59" t="s">
        <v>510</v>
      </c>
      <c r="D59" s="71">
        <f>D58-D56</f>
        <v>68.876843843847013</v>
      </c>
      <c r="E59" s="71">
        <f>E58-E56</f>
        <v>24.911885626901487</v>
      </c>
      <c r="F59" s="71">
        <f t="shared" ref="F59" si="10">F58-F56</f>
        <v>32.486150371354071</v>
      </c>
      <c r="G59" s="71">
        <f t="shared" ref="G59" si="11">G58-G56</f>
        <v>5.6638800325183496</v>
      </c>
      <c r="H59" s="71">
        <f t="shared" ref="H59" si="12">H58-H56</f>
        <v>9.2448577333953494</v>
      </c>
      <c r="AM59" t="s">
        <v>484</v>
      </c>
      <c r="AN59" s="36" t="e">
        <f>VLOOKUP($AM$5,$AM$12:$BB$35,3,FALSE)</f>
        <v>#DIV/0!</v>
      </c>
      <c r="AO59" s="36">
        <f>VLOOKUP($AM$5,$AM$12:$BB$35,6,FALSE)</f>
        <v>0.1110062893081761</v>
      </c>
      <c r="AP59" s="36">
        <f>VLOOKUP($AM$5,$AM$12:$BB$35,9,FALSE)</f>
        <v>1.7336485421591805E-2</v>
      </c>
      <c r="AQ59" s="36">
        <f>VLOOKUP($AM$5,$AM$12:$BB$35,12,FALSE)</f>
        <v>2.0202808112324493E-2</v>
      </c>
      <c r="AR59" s="36">
        <f>VLOOKUP($AM$5,$AM$12:$BB$35,15,FALSE)</f>
        <v>0.14386459802538787</v>
      </c>
      <c r="AS59" s="90"/>
      <c r="AT59" s="90"/>
      <c r="AU59" s="90"/>
      <c r="AV59" s="90"/>
      <c r="AW59" s="90"/>
      <c r="AX59" s="90"/>
      <c r="AY59" s="90"/>
      <c r="AZ59" s="90"/>
      <c r="BA59" s="90"/>
      <c r="BB59" s="90"/>
      <c r="BK59" s="102"/>
    </row>
    <row r="60" spans="2:63" ht="15" thickBot="1" x14ac:dyDescent="0.35">
      <c r="B60" s="47"/>
      <c r="AM60" t="s">
        <v>138</v>
      </c>
      <c r="AN60" s="36">
        <f>VLOOKUP($AM$5,Indicadores!$A$3:$G$31,3,FALSE)</f>
        <v>6.8160768436231034E-2</v>
      </c>
      <c r="AO60" s="36">
        <f>VLOOKUP($AM$5,Indicadores!$A$3:$G$31,4,FALSE)</f>
        <v>9.161377993512243E-2</v>
      </c>
      <c r="AP60" s="36">
        <f>VLOOKUP($AM$5,Indicadores!$A$3:$G$31,5,FALSE)</f>
        <v>8.9216359825743677E-2</v>
      </c>
      <c r="AQ60" s="36">
        <f>VLOOKUP($AM$5,Indicadores!$A$3:$G$31,6,FALSE)</f>
        <v>2.3236841706566425E-2</v>
      </c>
      <c r="AR60" s="36">
        <f>VLOOKUP($AM$5,Indicadores!$A$3:$G$31,7,FALSE)</f>
        <v>0.14800246248309576</v>
      </c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K60" s="96" t="s">
        <v>295</v>
      </c>
    </row>
    <row r="61" spans="2:63" ht="15" thickBot="1" x14ac:dyDescent="0.35">
      <c r="B61" s="47"/>
      <c r="C61" s="105" t="s">
        <v>119</v>
      </c>
      <c r="D61">
        <v>2017</v>
      </c>
      <c r="E61">
        <v>2018</v>
      </c>
      <c r="F61">
        <v>2019</v>
      </c>
      <c r="G61">
        <v>2020</v>
      </c>
      <c r="H61">
        <v>2021</v>
      </c>
      <c r="K61">
        <v>0</v>
      </c>
      <c r="L61" t="s">
        <v>330</v>
      </c>
      <c r="M61" s="48">
        <v>0</v>
      </c>
      <c r="AM61" t="s">
        <v>510</v>
      </c>
      <c r="AN61" s="71" t="e">
        <f>AN60-AN58</f>
        <v>#DIV/0!</v>
      </c>
      <c r="AO61" s="71">
        <f>AO60-AO58</f>
        <v>4.5858653210009148E-3</v>
      </c>
      <c r="AP61" s="71">
        <f t="shared" ref="AP61" si="13">AP60-AP58</f>
        <v>1.3372203981587838E-2</v>
      </c>
      <c r="AQ61" s="71">
        <f t="shared" ref="AQ61" si="14">AQ60-AQ58</f>
        <v>4.0628146054392508E-2</v>
      </c>
      <c r="AR61" s="71">
        <f t="shared" ref="AR61" si="15">AR60-AR58</f>
        <v>3.8583183389516162E-3</v>
      </c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K61" s="102" t="s">
        <v>298</v>
      </c>
    </row>
    <row r="62" spans="2:63" ht="15" x14ac:dyDescent="0.35">
      <c r="B62" s="47"/>
      <c r="C62" t="s">
        <v>480</v>
      </c>
      <c r="D62">
        <f>VLOOKUP($C$61,'Rúbricas BP Dimensão aplicável'!$B$2:$AA$157,2,FALSE)</f>
        <v>0</v>
      </c>
      <c r="E62">
        <f>VLOOKUP($C$61,'Rúbricas BP Dimensão aplicável'!$B$2:$AA$157,7,FALSE)</f>
        <v>90.99</v>
      </c>
      <c r="F62">
        <f>VLOOKUP($C$61,'Rúbricas BP Dimensão aplicável'!$B$2:$AA$157,12,FALSE)</f>
        <v>102.12</v>
      </c>
      <c r="G62">
        <f>VLOOKUP($C$61,'Rúbricas BP Dimensão aplicável'!$B$2:$AA$157,17,FALSE)</f>
        <v>120.92</v>
      </c>
      <c r="H62">
        <f>VLOOKUP($C$61,'Rúbricas BP Dimensão aplicável'!$B$2:$AA$157,22,FALSE)</f>
        <v>119.51</v>
      </c>
      <c r="J62" s="71">
        <f>H67</f>
        <v>265.58340888656573</v>
      </c>
      <c r="K62">
        <f>H62</f>
        <v>119.51</v>
      </c>
      <c r="L62" t="s">
        <v>332</v>
      </c>
      <c r="M62" s="48">
        <f>M61+ 0.25 + 0.125</f>
        <v>0.375</v>
      </c>
      <c r="X62" s="111" t="str">
        <f>VLOOKUP(J63,'Backend dashboard rentabilidade'!O9:P12,2,0)</f>
        <v>Em comparação com o setor,  o desempenho da empresa no último ano da comparação foi moderadamente forte, figurando entre as 50% melhores da mesma dimensão.</v>
      </c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K62" s="102" t="s">
        <v>306</v>
      </c>
    </row>
    <row r="63" spans="2:63" ht="15" thickBot="1" x14ac:dyDescent="0.35">
      <c r="B63" s="47"/>
      <c r="C63" t="s">
        <v>481</v>
      </c>
      <c r="D63">
        <f>VLOOKUP($C$61,'Rúbricas BP Dimensão aplicável'!$B$2:$AA$157,3,FALSE)</f>
        <v>0</v>
      </c>
      <c r="E63">
        <f>VLOOKUP($C$61,'Rúbricas BP Dimensão aplicável'!$B$2:$AA$157,8,FALSE)</f>
        <v>180.8</v>
      </c>
      <c r="F63">
        <f>VLOOKUP($C$61,'Rúbricas BP Dimensão aplicável'!$B$2:$AA$157,13,FALSE)</f>
        <v>222.61</v>
      </c>
      <c r="G63">
        <f>VLOOKUP($C$61,'Rúbricas BP Dimensão aplicável'!$B$2:$AA$157,18,FALSE)</f>
        <v>269.42</v>
      </c>
      <c r="H63">
        <f>VLOOKUP($C$61,'Rúbricas BP Dimensão aplicável'!$B$2:$AA$157,23,FALSE)</f>
        <v>264.55</v>
      </c>
      <c r="J63" s="108" t="str">
        <f>VLOOKUP(J62,K61:M64,2,1)</f>
        <v>Moderadamente forte</v>
      </c>
      <c r="K63">
        <f>H63</f>
        <v>264.55</v>
      </c>
      <c r="L63" t="s">
        <v>333</v>
      </c>
      <c r="M63" s="48">
        <f>M62+ 0.25</f>
        <v>0.625</v>
      </c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K63" s="96" t="s">
        <v>307</v>
      </c>
    </row>
    <row r="64" spans="2:63" ht="15" thickBot="1" x14ac:dyDescent="0.35">
      <c r="B64" s="47"/>
      <c r="C64" t="s">
        <v>482</v>
      </c>
      <c r="D64">
        <f>VLOOKUP($C$61,'Rúbricas BP Dimensão aplicável'!$B$2:$AA$157,4,FALSE)</f>
        <v>0</v>
      </c>
      <c r="E64">
        <f>VLOOKUP($C$61,'Rúbricas BP Dimensão aplicável'!$B$2:$AA$157,9,FALSE)</f>
        <v>556.78</v>
      </c>
      <c r="F64">
        <f>VLOOKUP($C$61,'Rúbricas BP Dimensão aplicável'!$B$2:$AA$157,14,FALSE)</f>
        <v>500.3</v>
      </c>
      <c r="G64">
        <f>VLOOKUP($C$61,'Rúbricas BP Dimensão aplicável'!$B$2:$AA$157,19,FALSE)</f>
        <v>504.57</v>
      </c>
      <c r="H64">
        <f>VLOOKUP($C$61,'Rúbricas BP Dimensão aplicável'!$B$2:$AA$157,24,FALSE)</f>
        <v>547.67999999999995</v>
      </c>
      <c r="J64">
        <f>VLOOKUP(J62,K61:M64,3.1)</f>
        <v>0.625</v>
      </c>
      <c r="K64">
        <f>H64</f>
        <v>547.67999999999995</v>
      </c>
      <c r="L64" t="s">
        <v>331</v>
      </c>
      <c r="M64" s="48">
        <f>M63+ 0.25</f>
        <v>0.875</v>
      </c>
      <c r="AM64" s="105" t="s">
        <v>111</v>
      </c>
      <c r="AN64">
        <v>2017</v>
      </c>
      <c r="AO64">
        <v>2018</v>
      </c>
      <c r="AP64">
        <v>2019</v>
      </c>
      <c r="AQ64">
        <v>2020</v>
      </c>
      <c r="AR64">
        <v>2021</v>
      </c>
      <c r="AS64" s="90"/>
      <c r="AT64" s="90"/>
      <c r="AU64" s="90"/>
      <c r="AV64" s="90"/>
      <c r="AW64" s="90"/>
      <c r="AX64" s="90"/>
      <c r="AY64" s="90"/>
      <c r="AZ64" s="90"/>
      <c r="BA64" s="90"/>
      <c r="BB64" s="90"/>
    </row>
    <row r="65" spans="2:54" x14ac:dyDescent="0.3">
      <c r="B65" s="47"/>
      <c r="C65" t="s">
        <v>483</v>
      </c>
      <c r="D65">
        <f>VLOOKUP($C$61,'Rúbricas BP Dimensão aplicável'!$B$2:$AA$157,5,FALSE)</f>
        <v>0</v>
      </c>
      <c r="E65">
        <f>VLOOKUP($C$61,'Rúbricas BP Dimensão aplicável'!$B$2:$AA$157,10,FALSE)</f>
        <v>164.41</v>
      </c>
      <c r="F65">
        <f>VLOOKUP($C$61,'Rúbricas BP Dimensão aplicável'!$B$2:$AA$157,15,FALSE)</f>
        <v>146.44999999999999</v>
      </c>
      <c r="G65">
        <f>VLOOKUP($C$61,'Rúbricas BP Dimensão aplicável'!$B$2:$AA$157,20,FALSE)</f>
        <v>168.77</v>
      </c>
      <c r="H65">
        <f>VLOOKUP($C$61,'Rúbricas BP Dimensão aplicável'!$B$2:$AA$157,25,FALSE)</f>
        <v>158.6</v>
      </c>
      <c r="J65">
        <v>0.01</v>
      </c>
      <c r="AM65" t="s">
        <v>483</v>
      </c>
      <c r="AN65" s="36" t="e">
        <f>VLOOKUP($AM$5,$AM$12:$BB$35,4,FALSE)</f>
        <v>#DIV/0!</v>
      </c>
      <c r="AO65" s="36">
        <f>VLOOKUP($AM$5,$AM$12:$BB$35,7,FALSE)</f>
        <v>8.7027914614121515E-2</v>
      </c>
      <c r="AP65" s="36">
        <f>VLOOKUP($AM$5,$AM$12:$BB$35,10,FALSE)</f>
        <v>7.5844155844155839E-2</v>
      </c>
      <c r="AQ65" s="36">
        <f>VLOOKUP($AM$5,$AM$12:$BB$35,13,FALSE)</f>
        <v>-1.7391304347826087E-2</v>
      </c>
      <c r="AR65" s="36">
        <f>VLOOKUP($AM$5,$AM$12:$BB$35,16,FALSE)</f>
        <v>0.14414414414414414</v>
      </c>
      <c r="AS65" s="90"/>
      <c r="AT65" s="90"/>
      <c r="AU65" s="90"/>
      <c r="AV65" s="90"/>
      <c r="AW65" s="90"/>
      <c r="AX65" s="90"/>
      <c r="AY65" s="90"/>
      <c r="AZ65" s="90"/>
      <c r="BA65" s="90"/>
      <c r="BB65" s="90"/>
    </row>
    <row r="66" spans="2:54" x14ac:dyDescent="0.3">
      <c r="B66" s="47"/>
      <c r="C66" t="s">
        <v>484</v>
      </c>
      <c r="D66">
        <f>VLOOKUP($C$61,'Rúbricas BP Todas as dimensões'!$B$2:$AA$157,5,FALSE)</f>
        <v>0</v>
      </c>
      <c r="E66">
        <f>VLOOKUP($C$61,'Rúbricas BP Todas as dimensões'!$B$2:$AA$157,10,FALSE)</f>
        <v>120.48</v>
      </c>
      <c r="F66" s="71">
        <f>VLOOKUP($C$61,'Rúbricas BP Todas as dimensões'!$B$2:$AA$157,15,FALSE)</f>
        <v>170.58</v>
      </c>
      <c r="G66">
        <f>VLOOKUP($C$61,'Rúbricas BP Todas as dimensões'!$B$2:$AA$157,20,FALSE)</f>
        <v>174.29</v>
      </c>
      <c r="H66">
        <f>VLOOKUP($C$61,'Rúbricas BP Todas as dimensões'!$B$2:$AA$157,25,FALSE)</f>
        <v>171.7</v>
      </c>
      <c r="J66" s="57">
        <f>200%-SUM(J64:J65)</f>
        <v>1.365</v>
      </c>
      <c r="AM66" t="s">
        <v>484</v>
      </c>
      <c r="AN66" s="36" t="e">
        <f>VLOOKUP($AM$5,$AM$12:$BB$35,3,FALSE)</f>
        <v>#DIV/0!</v>
      </c>
      <c r="AO66" s="36">
        <f>VLOOKUP($AM$5,$AM$12:$BB$35,6,FALSE)</f>
        <v>0.1110062893081761</v>
      </c>
      <c r="AP66" s="36">
        <f>VLOOKUP($AM$5,$AM$12:$BB$35,9,FALSE)</f>
        <v>1.7336485421591805E-2</v>
      </c>
      <c r="AQ66" s="36">
        <f>VLOOKUP($AM$5,$AM$12:$BB$35,12,FALSE)</f>
        <v>2.0202808112324493E-2</v>
      </c>
      <c r="AR66" s="36">
        <f>VLOOKUP($AM$5,$AM$12:$BB$35,15,FALSE)</f>
        <v>0.14386459802538787</v>
      </c>
    </row>
    <row r="67" spans="2:54" x14ac:dyDescent="0.3">
      <c r="B67" s="47"/>
      <c r="C67" t="s">
        <v>138</v>
      </c>
      <c r="D67" s="71">
        <f>VLOOKUP($C$61,Indicadores!$A$3:$G$31,3,FALSE)*100</f>
        <v>332.79040817841121</v>
      </c>
      <c r="E67" s="71">
        <f>VLOOKUP($C$61,Indicadores!$A$3:$G$31,4,FALSE)*100</f>
        <v>369.21379687761527</v>
      </c>
      <c r="F67" s="71">
        <f>VLOOKUP($C$61,Indicadores!$A$3:$G$31,5,FALSE)*100</f>
        <v>331.08491065906651</v>
      </c>
      <c r="G67" s="71">
        <f>VLOOKUP($C$61,Indicadores!$A$3:$G$31,6,FALSE)*100</f>
        <v>155.08965433984409</v>
      </c>
      <c r="H67" s="71">
        <f>VLOOKUP($C$61,Indicadores!$A$3:$G$31,7,FALSE)*100</f>
        <v>265.58340888656573</v>
      </c>
      <c r="AM67" t="s">
        <v>138</v>
      </c>
      <c r="AN67" s="36">
        <f>VLOOKUP($AM$5,Indicadores!$A$3:$G$31,3,FALSE)</f>
        <v>6.8160768436231034E-2</v>
      </c>
      <c r="AO67" s="36">
        <f>VLOOKUP($AM$5,Indicadores!$A$3:$G$31,4,FALSE)</f>
        <v>9.161377993512243E-2</v>
      </c>
      <c r="AP67" s="36">
        <f>VLOOKUP($AM$5,Indicadores!$A$3:$G$31,5,FALSE)</f>
        <v>8.9216359825743677E-2</v>
      </c>
      <c r="AQ67" s="36">
        <f>VLOOKUP($AM$5,Indicadores!$A$3:$G$31,6,FALSE)</f>
        <v>2.3236841706566425E-2</v>
      </c>
      <c r="AR67" s="36">
        <f>VLOOKUP($AM$5,Indicadores!$A$3:$G$31,7,FALSE)</f>
        <v>0.14800246248309576</v>
      </c>
    </row>
    <row r="68" spans="2:54" x14ac:dyDescent="0.3">
      <c r="B68" s="47"/>
      <c r="C68" t="s">
        <v>510</v>
      </c>
      <c r="D68" s="71">
        <f>D67-D65</f>
        <v>332.79040817841121</v>
      </c>
      <c r="E68" s="71">
        <f>E67-E65</f>
        <v>204.80379687761527</v>
      </c>
      <c r="F68" s="71">
        <f t="shared" ref="F68" si="16">F67-F65</f>
        <v>184.63491065906652</v>
      </c>
      <c r="G68" s="71">
        <f t="shared" ref="G68" si="17">G67-G65</f>
        <v>-13.680345660155922</v>
      </c>
      <c r="H68" s="71">
        <f t="shared" ref="H68" si="18">H67-H65</f>
        <v>106.98340888656574</v>
      </c>
      <c r="AM68" t="s">
        <v>510</v>
      </c>
      <c r="AN68" s="71" t="e">
        <f>AN67-AN65</f>
        <v>#DIV/0!</v>
      </c>
      <c r="AO68" s="71">
        <f>AO67-AO65</f>
        <v>4.5858653210009148E-3</v>
      </c>
      <c r="AP68" s="71">
        <f t="shared" ref="AP68" si="19">AP67-AP65</f>
        <v>1.3372203981587838E-2</v>
      </c>
      <c r="AQ68" s="71">
        <f t="shared" ref="AQ68" si="20">AQ67-AQ65</f>
        <v>4.0628146054392508E-2</v>
      </c>
      <c r="AR68" s="71">
        <f t="shared" ref="AR68" si="21">AR67-AR65</f>
        <v>3.8583183389516162E-3</v>
      </c>
    </row>
    <row r="69" spans="2:54" ht="15" thickBot="1" x14ac:dyDescent="0.35">
      <c r="B69" s="47"/>
    </row>
    <row r="70" spans="2:54" ht="15" thickBot="1" x14ac:dyDescent="0.35">
      <c r="B70" s="47"/>
      <c r="C70" s="105" t="s">
        <v>121</v>
      </c>
      <c r="D70">
        <v>2017</v>
      </c>
      <c r="E70">
        <v>2018</v>
      </c>
      <c r="F70">
        <v>2019</v>
      </c>
      <c r="G70">
        <v>2020</v>
      </c>
      <c r="H70">
        <v>2021</v>
      </c>
      <c r="K70">
        <v>0</v>
      </c>
      <c r="L70" t="s">
        <v>330</v>
      </c>
      <c r="M70" s="48">
        <v>0</v>
      </c>
    </row>
    <row r="71" spans="2:54" ht="15" thickBot="1" x14ac:dyDescent="0.35">
      <c r="B71" s="47"/>
      <c r="C71" t="s">
        <v>480</v>
      </c>
      <c r="D71">
        <f>VLOOKUP($C$5,'Rúbricas BP Dimensão aplicável'!$B$2:$AA$157,2,FALSE)</f>
        <v>0</v>
      </c>
      <c r="E71">
        <f>VLOOKUP($C$5,'Rúbricas BP Dimensão aplicável'!$B$2:$AA$157,7,FALSE)</f>
        <v>0.01</v>
      </c>
      <c r="F71">
        <f>VLOOKUP($C$5,'Rúbricas BP Dimensão aplicável'!$B$2:$AA$157,12,FALSE)</f>
        <v>-4.93</v>
      </c>
      <c r="G71">
        <f>VLOOKUP($C$5,'Rúbricas BP Dimensão aplicável'!$B$2:$AA$157,17,FALSE)</f>
        <v>-1.86</v>
      </c>
      <c r="H71">
        <f>VLOOKUP($C$5,'Rúbricas BP Dimensão aplicável'!$B$2:$AA$157,22,FALSE)</f>
        <v>0</v>
      </c>
      <c r="J71" s="71">
        <f>H76</f>
        <v>14.800246248309575</v>
      </c>
      <c r="K71">
        <f>H71</f>
        <v>0</v>
      </c>
      <c r="L71" t="s">
        <v>332</v>
      </c>
      <c r="M71" s="48">
        <f>M70+ 0.25 + 0.125</f>
        <v>0.375</v>
      </c>
      <c r="AM71" s="105" t="s">
        <v>129</v>
      </c>
      <c r="AN71">
        <v>2017</v>
      </c>
      <c r="AO71">
        <v>2018</v>
      </c>
      <c r="AP71">
        <v>2019</v>
      </c>
      <c r="AQ71">
        <v>2020</v>
      </c>
      <c r="AR71">
        <v>2021</v>
      </c>
    </row>
    <row r="72" spans="2:54" ht="15" x14ac:dyDescent="0.35">
      <c r="B72" s="47"/>
      <c r="C72" t="s">
        <v>481</v>
      </c>
      <c r="D72">
        <f>VLOOKUP($C$5,'Rúbricas BP Dimensão aplicável'!$B$2:$AA$157,3,FALSE)</f>
        <v>0</v>
      </c>
      <c r="E72">
        <f>VLOOKUP($C$5,'Rúbricas BP Dimensão aplicável'!$B$2:$AA$157,8,FALSE)</f>
        <v>8.8000000000000007</v>
      </c>
      <c r="F72">
        <f>VLOOKUP($C$5,'Rúbricas BP Dimensão aplicável'!$B$2:$AA$157,13,FALSE)</f>
        <v>3.27</v>
      </c>
      <c r="G72">
        <f>VLOOKUP($C$5,'Rúbricas BP Dimensão aplicável'!$B$2:$AA$157,18,FALSE)</f>
        <v>3.73</v>
      </c>
      <c r="H72">
        <f>VLOOKUP($C$5,'Rúbricas BP Dimensão aplicável'!$B$2:$AA$157,23,FALSE)</f>
        <v>8.9600000000000009</v>
      </c>
      <c r="J72" s="108" t="str">
        <f>VLOOKUP(J71,K70:M73,2,1)</f>
        <v>Moderadamente forte</v>
      </c>
      <c r="K72">
        <f>H72</f>
        <v>8.9600000000000009</v>
      </c>
      <c r="L72" t="s">
        <v>333</v>
      </c>
      <c r="M72" s="48">
        <f>M71+ 0.25</f>
        <v>0.625</v>
      </c>
      <c r="X72" s="111" t="str">
        <f>VLOOKUP(J72,'Backend dashboard rentabilidade'!O9:P12,2,0)</f>
        <v>Em comparação com o setor,  o desempenho da empresa no último ano da comparação foi moderadamente forte, figurando entre as 50% melhores da mesma dimensão.</v>
      </c>
      <c r="AM72" t="s">
        <v>483</v>
      </c>
      <c r="AN72" s="36" t="e">
        <f>VLOOKUP($AM$5,$AM$12:$BB$35,4,FALSE)</f>
        <v>#DIV/0!</v>
      </c>
      <c r="AO72" s="36">
        <f>VLOOKUP($AM$5,$AM$12:$BB$35,7,FALSE)</f>
        <v>8.7027914614121515E-2</v>
      </c>
      <c r="AP72" s="36">
        <f>VLOOKUP($AM$5,$AM$12:$BB$35,10,FALSE)</f>
        <v>7.5844155844155839E-2</v>
      </c>
      <c r="AQ72" s="36">
        <f>VLOOKUP($AM$5,$AM$12:$BB$35,13,FALSE)</f>
        <v>-1.7391304347826087E-2</v>
      </c>
      <c r="AR72" s="36">
        <f>VLOOKUP($AM$5,$AM$12:$BB$35,16,FALSE)</f>
        <v>0.14414414414414414</v>
      </c>
    </row>
    <row r="73" spans="2:54" x14ac:dyDescent="0.3">
      <c r="B73" s="47"/>
      <c r="C73" t="s">
        <v>482</v>
      </c>
      <c r="D73">
        <f>VLOOKUP($C$5,'Rúbricas BP Dimensão aplicável'!$B$2:$AA$157,4,FALSE)</f>
        <v>0</v>
      </c>
      <c r="E73">
        <f>VLOOKUP($C$5,'Rúbricas BP Dimensão aplicável'!$B$2:$AA$157,9,FALSE)</f>
        <v>34.68</v>
      </c>
      <c r="F73">
        <f>VLOOKUP($C$5,'Rúbricas BP Dimensão aplicável'!$B$2:$AA$157,14,FALSE)</f>
        <v>21.94</v>
      </c>
      <c r="G73">
        <f>VLOOKUP($C$5,'Rúbricas BP Dimensão aplicável'!$B$2:$AA$157,19,FALSE)</f>
        <v>13.05</v>
      </c>
      <c r="H73">
        <f>VLOOKUP($C$5,'Rúbricas BP Dimensão aplicável'!$B$2:$AA$157,24,FALSE)</f>
        <v>33.01</v>
      </c>
      <c r="J73">
        <f>VLOOKUP(J71,K70:M73,3.1)</f>
        <v>0.625</v>
      </c>
      <c r="K73">
        <f>H73</f>
        <v>33.01</v>
      </c>
      <c r="L73" t="s">
        <v>331</v>
      </c>
      <c r="M73" s="48">
        <f>M72+ 0.25</f>
        <v>0.875</v>
      </c>
      <c r="AM73" t="s">
        <v>484</v>
      </c>
      <c r="AN73" s="36" t="e">
        <f>VLOOKUP($AM$5,$AM$12:$BB$35,3,FALSE)</f>
        <v>#DIV/0!</v>
      </c>
      <c r="AO73" s="36">
        <f>VLOOKUP($AM$5,$AM$12:$BB$35,6,FALSE)</f>
        <v>0.1110062893081761</v>
      </c>
      <c r="AP73" s="36">
        <f>VLOOKUP($AM$5,$AM$12:$BB$35,9,FALSE)</f>
        <v>1.7336485421591805E-2</v>
      </c>
      <c r="AQ73" s="36">
        <f>VLOOKUP($AM$5,$AM$12:$BB$35,12,FALSE)</f>
        <v>2.0202808112324493E-2</v>
      </c>
      <c r="AR73" s="36">
        <f>VLOOKUP($AM$5,$AM$12:$BB$35,15,FALSE)</f>
        <v>0.14386459802538787</v>
      </c>
    </row>
    <row r="74" spans="2:54" x14ac:dyDescent="0.3">
      <c r="B74" s="47"/>
      <c r="C74" t="s">
        <v>483</v>
      </c>
      <c r="D74">
        <f>VLOOKUP($C$5,'Rúbricas BP Dimensão aplicável'!$B$2:$AA$157,5,FALSE)</f>
        <v>0</v>
      </c>
      <c r="E74">
        <f>VLOOKUP($C$5,'Rúbricas BP Dimensão aplicável'!$B$2:$AA$157,10,FALSE)</f>
        <v>8.69</v>
      </c>
      <c r="F74">
        <f>VLOOKUP($C$5,'Rúbricas BP Dimensão aplicável'!$B$2:$AA$157,15,FALSE)</f>
        <v>7.58</v>
      </c>
      <c r="G74">
        <f>VLOOKUP($C$5,'Rúbricas BP Dimensão aplicável'!$B$2:$AA$157,20,FALSE)</f>
        <v>-1.72</v>
      </c>
      <c r="H74">
        <f>VLOOKUP($C$5,'Rúbricas BP Dimensão aplicável'!$B$2:$AA$157,25,FALSE)</f>
        <v>14.4</v>
      </c>
      <c r="J74">
        <v>0.01</v>
      </c>
      <c r="AM74" t="s">
        <v>138</v>
      </c>
      <c r="AN74" s="36">
        <f>VLOOKUP($AM$5,Indicadores!$A$3:$G$31,3,FALSE)</f>
        <v>6.8160768436231034E-2</v>
      </c>
      <c r="AO74" s="36">
        <f>VLOOKUP($AM$5,Indicadores!$A$3:$G$31,4,FALSE)</f>
        <v>9.161377993512243E-2</v>
      </c>
      <c r="AP74" s="36">
        <f>VLOOKUP($AM$5,Indicadores!$A$3:$G$31,5,FALSE)</f>
        <v>8.9216359825743677E-2</v>
      </c>
      <c r="AQ74" s="36">
        <f>VLOOKUP($AM$5,Indicadores!$A$3:$G$31,6,FALSE)</f>
        <v>2.3236841706566425E-2</v>
      </c>
      <c r="AR74" s="36">
        <f>VLOOKUP($AM$5,Indicadores!$A$3:$G$31,7,FALSE)</f>
        <v>0.14800246248309576</v>
      </c>
    </row>
    <row r="75" spans="2:54" x14ac:dyDescent="0.3">
      <c r="B75" s="47"/>
      <c r="C75" t="s">
        <v>484</v>
      </c>
      <c r="D75">
        <f>VLOOKUP($C$5,'Rúbricas BP Todas as dimensões'!$B$2:$AA$157,5,FALSE)</f>
        <v>0</v>
      </c>
      <c r="E75">
        <f>VLOOKUP($C$5,'Rúbricas BP Todas as dimensões'!$B$2:$AA$157,10,FALSE)</f>
        <v>11.1</v>
      </c>
      <c r="F75" s="71">
        <f>VLOOKUP($C$5,'Rúbricas BP Todas as dimensões'!$B$2:$AA$157,15,FALSE)</f>
        <v>1.74</v>
      </c>
      <c r="G75">
        <f>VLOOKUP($C$5,'Rúbricas BP Todas as dimensões'!$B$2:$AA$157,20,FALSE)</f>
        <v>2.02</v>
      </c>
      <c r="H75">
        <f>VLOOKUP($C$5,'Rúbricas BP Todas as dimensões'!$B$2:$AA$157,25,FALSE)</f>
        <v>14.39</v>
      </c>
      <c r="J75" s="57">
        <f>200%-SUM(J73:J74)</f>
        <v>1.365</v>
      </c>
      <c r="AM75" t="s">
        <v>510</v>
      </c>
      <c r="AN75" s="71" t="e">
        <f>AN74-AN72</f>
        <v>#DIV/0!</v>
      </c>
      <c r="AO75" s="71">
        <f>AO74-AO72</f>
        <v>4.5858653210009148E-3</v>
      </c>
      <c r="AP75" s="71">
        <f t="shared" ref="AP75" si="22">AP74-AP72</f>
        <v>1.3372203981587838E-2</v>
      </c>
      <c r="AQ75" s="71">
        <f t="shared" ref="AQ75" si="23">AQ74-AQ72</f>
        <v>4.0628146054392508E-2</v>
      </c>
      <c r="AR75" s="71">
        <f t="shared" ref="AR75" si="24">AR74-AR72</f>
        <v>3.8583183389516162E-3</v>
      </c>
    </row>
    <row r="76" spans="2:54" x14ac:dyDescent="0.3">
      <c r="B76" s="47"/>
      <c r="C76" t="s">
        <v>138</v>
      </c>
      <c r="D76" s="71">
        <f>VLOOKUP($C$5,Indicadores!$A$3:$G$31,3,FALSE)*100</f>
        <v>6.8160768436231036</v>
      </c>
      <c r="E76" s="71">
        <f>VLOOKUP($C$5,Indicadores!$A$3:$G$31,4,FALSE)*100</f>
        <v>9.161377993512243</v>
      </c>
      <c r="F76" s="71">
        <f>VLOOKUP($C$5,Indicadores!$A$3:$G$31,5,FALSE)*100</f>
        <v>8.921635982574367</v>
      </c>
      <c r="G76" s="71">
        <f>VLOOKUP($C$5,Indicadores!$A$3:$G$31,6,FALSE)*100</f>
        <v>2.3236841706566427</v>
      </c>
      <c r="H76" s="71">
        <f>VLOOKUP($C$5,Indicadores!$A$3:$G$31,7,FALSE)*100</f>
        <v>14.800246248309575</v>
      </c>
    </row>
    <row r="77" spans="2:54" x14ac:dyDescent="0.3">
      <c r="B77" s="47"/>
      <c r="C77" t="s">
        <v>510</v>
      </c>
      <c r="D77" s="71">
        <f>D76-D74</f>
        <v>6.8160768436231036</v>
      </c>
      <c r="E77" s="71">
        <f>E76-E74</f>
        <v>0.47137799351224352</v>
      </c>
      <c r="F77" s="71">
        <f t="shared" ref="F77" si="25">F76-F74</f>
        <v>1.3416359825743669</v>
      </c>
      <c r="G77" s="71">
        <f t="shared" ref="G77" si="26">G76-G74</f>
        <v>4.0436841706566424</v>
      </c>
      <c r="H77" s="71">
        <f t="shared" ref="H77" si="27">H76-H74</f>
        <v>0.40024624830957478</v>
      </c>
    </row>
    <row r="78" spans="2:54" ht="15" thickBot="1" x14ac:dyDescent="0.35">
      <c r="B78" s="47"/>
    </row>
    <row r="79" spans="2:54" ht="15" thickBot="1" x14ac:dyDescent="0.35">
      <c r="B79" s="47"/>
      <c r="C79" s="105" t="s">
        <v>99</v>
      </c>
      <c r="D79">
        <v>2017</v>
      </c>
      <c r="E79">
        <v>2018</v>
      </c>
      <c r="F79">
        <v>2019</v>
      </c>
      <c r="G79">
        <v>2020</v>
      </c>
      <c r="H79">
        <v>2021</v>
      </c>
      <c r="K79">
        <v>0</v>
      </c>
      <c r="L79" t="s">
        <v>330</v>
      </c>
      <c r="M79" s="48">
        <v>0</v>
      </c>
    </row>
    <row r="80" spans="2:54" x14ac:dyDescent="0.3">
      <c r="B80" s="47"/>
      <c r="C80" t="s">
        <v>480</v>
      </c>
      <c r="D80">
        <f>VLOOKUP($C$79,'Rúbricas BP Dimensão aplicável'!$B$2:$AA$157,2,FALSE)</f>
        <v>0</v>
      </c>
      <c r="E80">
        <f>VLOOKUP($C$79,'Rúbricas BP Dimensão aplicável'!$B$2:$AA$157,7,FALSE)</f>
        <v>-1.31</v>
      </c>
      <c r="F80">
        <f>VLOOKUP($C$79,'Rúbricas BP Dimensão aplicável'!$B$2:$AA$157,12,FALSE)</f>
        <v>-4.9000000000000004</v>
      </c>
      <c r="G80">
        <f>VLOOKUP($C$79,'Rúbricas BP Dimensão aplicável'!$B$2:$AA$157,17,FALSE)</f>
        <v>-0.09</v>
      </c>
      <c r="H80">
        <f>VLOOKUP($C$79,'Rúbricas BP Dimensão aplicável'!$B$2:$AA$157,22,FALSE)</f>
        <v>0.24</v>
      </c>
      <c r="J80" s="71">
        <f>H85</f>
        <v>9.9366762966935198</v>
      </c>
      <c r="K80">
        <f>H80</f>
        <v>0.24</v>
      </c>
      <c r="L80" t="s">
        <v>332</v>
      </c>
      <c r="M80" s="48">
        <f>M79+ 0.25 + 0.125</f>
        <v>0.375</v>
      </c>
    </row>
    <row r="81" spans="2:24" x14ac:dyDescent="0.3">
      <c r="B81" s="47"/>
      <c r="C81" t="s">
        <v>481</v>
      </c>
      <c r="D81">
        <f>VLOOKUP($C$79,'Rúbricas BP Dimensão aplicável'!$B$2:$AA$157,3,FALSE)</f>
        <v>0</v>
      </c>
      <c r="E81">
        <f>VLOOKUP($C$79,'Rúbricas BP Dimensão aplicável'!$B$2:$AA$157,8,FALSE)</f>
        <v>2.09</v>
      </c>
      <c r="F81">
        <f>VLOOKUP($C$79,'Rúbricas BP Dimensão aplicável'!$B$2:$AA$157,13,FALSE)</f>
        <v>0.8</v>
      </c>
      <c r="G81">
        <f>VLOOKUP($C$79,'Rúbricas BP Dimensão aplicável'!$B$2:$AA$157,18,FALSE)</f>
        <v>1.98</v>
      </c>
      <c r="H81">
        <f>VLOOKUP($C$79,'Rúbricas BP Dimensão aplicável'!$B$2:$AA$157,23,FALSE)</f>
        <v>3.39</v>
      </c>
      <c r="J81" s="108" t="str">
        <f>VLOOKUP(J80,K79:M82,2,1)</f>
        <v>Forte</v>
      </c>
      <c r="K81">
        <f>H81</f>
        <v>3.39</v>
      </c>
      <c r="L81" t="s">
        <v>333</v>
      </c>
      <c r="M81" s="48">
        <f>M80+ 0.25</f>
        <v>0.625</v>
      </c>
    </row>
    <row r="82" spans="2:24" ht="15" x14ac:dyDescent="0.35">
      <c r="B82" s="47"/>
      <c r="C82" t="s">
        <v>482</v>
      </c>
      <c r="D82">
        <f>VLOOKUP($C$79,'Rúbricas BP Dimensão aplicável'!$B$2:$AA$157,4,FALSE)</f>
        <v>0</v>
      </c>
      <c r="E82">
        <f>VLOOKUP($C$79,'Rúbricas BP Dimensão aplicável'!$B$2:$AA$157,9,FALSE)</f>
        <v>5.38</v>
      </c>
      <c r="F82">
        <f>VLOOKUP($C$79,'Rúbricas BP Dimensão aplicável'!$B$2:$AA$157,14,FALSE)</f>
        <v>4.26</v>
      </c>
      <c r="G82">
        <f>VLOOKUP($C$79,'Rúbricas BP Dimensão aplicável'!$B$2:$AA$157,19,FALSE)</f>
        <v>6.02</v>
      </c>
      <c r="H82">
        <f>VLOOKUP($C$79,'Rúbricas BP Dimensão aplicável'!$B$2:$AA$157,24,FALSE)</f>
        <v>9.68</v>
      </c>
      <c r="J82">
        <f>VLOOKUP(J80,K79:M82,3.1)</f>
        <v>0.875</v>
      </c>
      <c r="K82">
        <f>H82</f>
        <v>9.68</v>
      </c>
      <c r="L82" t="s">
        <v>331</v>
      </c>
      <c r="M82" s="48">
        <f>M81+ 0.25</f>
        <v>0.875</v>
      </c>
      <c r="X82" s="111" t="str">
        <f>VLOOKUP(J81,'Backend dashboard rentabilidade'!O9:P12,2,0)</f>
        <v>Em comparação com o setor,  o desempenho da empresa no último ano da comparação foi forte, figurando entre as 25% melhores da mesma dimensão.</v>
      </c>
    </row>
    <row r="83" spans="2:24" x14ac:dyDescent="0.3">
      <c r="B83" s="47"/>
      <c r="C83" t="s">
        <v>483</v>
      </c>
      <c r="D83">
        <f>VLOOKUP($C$79,'Rúbricas BP Dimensão aplicável'!$B$2:$AA$157,5,FALSE)</f>
        <v>0</v>
      </c>
      <c r="E83">
        <f>VLOOKUP($C$79,'Rúbricas BP Dimensão aplicável'!$B$2:$AA$157,10,FALSE)</f>
        <v>3.14</v>
      </c>
      <c r="F83">
        <f>VLOOKUP($C$79,'Rúbricas BP Dimensão aplicável'!$B$2:$AA$157,15,FALSE)</f>
        <v>3.14</v>
      </c>
      <c r="G83">
        <f>VLOOKUP($C$79,'Rúbricas BP Dimensão aplicável'!$B$2:$AA$157,20,FALSE)</f>
        <v>-0.88</v>
      </c>
      <c r="H83">
        <f>VLOOKUP($C$79,'Rúbricas BP Dimensão aplicável'!$B$2:$AA$157,25,FALSE)</f>
        <v>5.3</v>
      </c>
      <c r="J83">
        <v>0.01</v>
      </c>
    </row>
    <row r="84" spans="2:24" x14ac:dyDescent="0.3">
      <c r="B84" s="47"/>
      <c r="C84" t="s">
        <v>484</v>
      </c>
      <c r="D84">
        <f>VLOOKUP($C$79,'Rúbricas BP Todas as dimensões'!$B$2:$AA$157,5,FALSE)</f>
        <v>0</v>
      </c>
      <c r="E84">
        <f>VLOOKUP($C$79,'Rúbricas BP Todas as dimensões'!$B$2:$AA$157,10,FALSE)</f>
        <v>3.97</v>
      </c>
      <c r="F84" s="71">
        <f>VLOOKUP($C$79,'Rúbricas BP Todas as dimensões'!$B$2:$AA$157,15,FALSE)</f>
        <v>0.75</v>
      </c>
      <c r="G84">
        <f>VLOOKUP($C$79,'Rúbricas BP Todas as dimensões'!$B$2:$AA$157,20,FALSE)</f>
        <v>1.05</v>
      </c>
      <c r="H84">
        <f>VLOOKUP($C$79,'Rúbricas BP Todas as dimensões'!$B$2:$AA$157,25,FALSE)</f>
        <v>4.4000000000000004</v>
      </c>
      <c r="J84" s="57">
        <f>200%-SUM(J82:J83)</f>
        <v>1.115</v>
      </c>
    </row>
    <row r="85" spans="2:24" x14ac:dyDescent="0.3">
      <c r="B85" s="47"/>
      <c r="C85" t="s">
        <v>138</v>
      </c>
      <c r="D85" s="71">
        <f>VLOOKUP($C$79,Indicadores!$A$3:$G$31,3,FALSE)*100</f>
        <v>4.465137710860871</v>
      </c>
      <c r="E85" s="71">
        <f>VLOOKUP($C$79,Indicadores!$A$3:$G$31,4,FALSE)*100</f>
        <v>7.0914748862189416</v>
      </c>
      <c r="F85" s="71">
        <f>VLOOKUP($C$79,Indicadores!$A$3:$G$31,5,FALSE)*100</f>
        <v>6.8964427259887051</v>
      </c>
      <c r="G85" s="71">
        <f>VLOOKUP($C$79,Indicadores!$A$3:$G$31,6,FALSE)*100</f>
        <v>2.0072413721197715</v>
      </c>
      <c r="H85" s="71">
        <f>VLOOKUP($C$79,Indicadores!$A$3:$G$31,7,FALSE)*100</f>
        <v>9.9366762966935198</v>
      </c>
    </row>
    <row r="86" spans="2:24" x14ac:dyDescent="0.3">
      <c r="B86" s="47"/>
      <c r="C86" t="s">
        <v>510</v>
      </c>
      <c r="D86" s="71">
        <f>D85-D83</f>
        <v>4.465137710860871</v>
      </c>
      <c r="E86" s="71">
        <f>E85-E83</f>
        <v>3.9514748862189415</v>
      </c>
      <c r="F86" s="71">
        <f t="shared" ref="F86" si="28">F85-F83</f>
        <v>3.756442725988705</v>
      </c>
      <c r="G86" s="71">
        <f t="shared" ref="G86" si="29">G85-G83</f>
        <v>2.8872413721197714</v>
      </c>
      <c r="H86" s="71">
        <f t="shared" ref="H86" si="30">H85-H83</f>
        <v>4.63667629669352</v>
      </c>
    </row>
    <row r="87" spans="2:24" ht="15" thickBot="1" x14ac:dyDescent="0.35">
      <c r="B87" s="47"/>
    </row>
    <row r="88" spans="2:24" ht="15" thickBot="1" x14ac:dyDescent="0.35">
      <c r="B88" s="47"/>
      <c r="C88" s="105" t="s">
        <v>96</v>
      </c>
      <c r="D88">
        <v>2017</v>
      </c>
      <c r="E88">
        <v>2018</v>
      </c>
      <c r="F88">
        <v>2019</v>
      </c>
      <c r="G88">
        <v>2020</v>
      </c>
      <c r="H88">
        <v>2021</v>
      </c>
      <c r="K88">
        <v>0</v>
      </c>
      <c r="L88" t="s">
        <v>330</v>
      </c>
      <c r="M88" s="48">
        <v>0</v>
      </c>
    </row>
    <row r="89" spans="2:24" ht="15" x14ac:dyDescent="0.35">
      <c r="B89" s="47"/>
      <c r="C89" t="s">
        <v>480</v>
      </c>
      <c r="D89">
        <f>VLOOKUP($C$88,'Rúbricas BP Dimensão aplicável'!$B$2:$AA$157,2,FALSE)</f>
        <v>0</v>
      </c>
      <c r="E89">
        <f>VLOOKUP($C$88,'Rúbricas BP Dimensão aplicável'!$B$2:$AA$157,7,FALSE)</f>
        <v>1.88</v>
      </c>
      <c r="F89">
        <f>VLOOKUP($C$88,'Rúbricas BP Dimensão aplicável'!$B$2:$AA$157,12,FALSE)</f>
        <v>-7.0000000000000007E-2</v>
      </c>
      <c r="G89">
        <f>VLOOKUP($C$88,'Rúbricas BP Dimensão aplicável'!$B$2:$AA$157,17,FALSE)</f>
        <v>1.75</v>
      </c>
      <c r="H89">
        <f>VLOOKUP($C$88,'Rúbricas BP Dimensão aplicável'!$B$2:$AA$157,22,FALSE)</f>
        <v>2.44</v>
      </c>
      <c r="J89" s="71">
        <f>H94</f>
        <v>18.201777115387138</v>
      </c>
      <c r="K89">
        <f>H89</f>
        <v>2.44</v>
      </c>
      <c r="L89" t="s">
        <v>332</v>
      </c>
      <c r="M89" s="48">
        <f>M88+ 0.25 + 0.125</f>
        <v>0.375</v>
      </c>
      <c r="X89" s="111" t="str">
        <f>VLOOKUP(J90,'Backend dashboard rentabilidade'!O9:P12,2,0)</f>
        <v>Em comparação com o setor,  o desempenho da empresa no último ano da comparação foi forte, figurando entre as 25% melhores da mesma dimensão.</v>
      </c>
    </row>
    <row r="90" spans="2:24" x14ac:dyDescent="0.3">
      <c r="B90" s="47"/>
      <c r="C90" t="s">
        <v>481</v>
      </c>
      <c r="D90">
        <f>VLOOKUP($C$88,'Rúbricas BP Dimensão aplicável'!$B$2:$AA$157,3,FALSE)</f>
        <v>0</v>
      </c>
      <c r="E90">
        <f>VLOOKUP($C$88,'Rúbricas BP Dimensão aplicável'!$B$2:$AA$157,8,FALSE)</f>
        <v>5.98</v>
      </c>
      <c r="F90">
        <f>VLOOKUP($C$88,'Rúbricas BP Dimensão aplicável'!$B$2:$AA$157,13,FALSE)</f>
        <v>4.5</v>
      </c>
      <c r="G90">
        <f>VLOOKUP($C$88,'Rúbricas BP Dimensão aplicável'!$B$2:$AA$157,18,FALSE)</f>
        <v>7.17</v>
      </c>
      <c r="H90">
        <f>VLOOKUP($C$88,'Rúbricas BP Dimensão aplicável'!$B$2:$AA$157,23,FALSE)</f>
        <v>7.96</v>
      </c>
      <c r="J90" s="108" t="str">
        <f>VLOOKUP(J89,K88:M91,2,1)</f>
        <v>Forte</v>
      </c>
      <c r="K90">
        <f>H90</f>
        <v>7.96</v>
      </c>
      <c r="L90" t="s">
        <v>333</v>
      </c>
      <c r="M90" s="48">
        <f>M89+ 0.25</f>
        <v>0.625</v>
      </c>
    </row>
    <row r="91" spans="2:24" x14ac:dyDescent="0.3">
      <c r="B91" s="47"/>
      <c r="C91" t="s">
        <v>482</v>
      </c>
      <c r="D91">
        <f>VLOOKUP($C$88,'Rúbricas BP Dimensão aplicável'!$B$2:$AA$157,4,FALSE)</f>
        <v>0</v>
      </c>
      <c r="E91">
        <f>VLOOKUP($C$88,'Rúbricas BP Dimensão aplicável'!$B$2:$AA$157,9,FALSE)</f>
        <v>11.04</v>
      </c>
      <c r="F91">
        <f>VLOOKUP($C$88,'Rúbricas BP Dimensão aplicável'!$B$2:$AA$157,14,FALSE)</f>
        <v>10</v>
      </c>
      <c r="G91">
        <f>VLOOKUP($C$88,'Rúbricas BP Dimensão aplicável'!$B$2:$AA$157,19,FALSE)</f>
        <v>14.61</v>
      </c>
      <c r="H91">
        <f>VLOOKUP($C$88,'Rúbricas BP Dimensão aplicável'!$B$2:$AA$157,24,FALSE)</f>
        <v>17.53</v>
      </c>
      <c r="J91">
        <f>VLOOKUP(J89,K88:M91,3.1)</f>
        <v>0.875</v>
      </c>
      <c r="K91">
        <f>H91</f>
        <v>17.53</v>
      </c>
      <c r="L91" t="s">
        <v>331</v>
      </c>
      <c r="M91" s="48">
        <f>M90+ 0.25</f>
        <v>0.875</v>
      </c>
    </row>
    <row r="92" spans="2:24" x14ac:dyDescent="0.3">
      <c r="B92" s="47"/>
      <c r="C92" t="s">
        <v>483</v>
      </c>
      <c r="D92">
        <f>VLOOKUP($C$88,'Rúbricas BP Dimensão aplicável'!$B$2:$AA$157,5,FALSE)</f>
        <v>0</v>
      </c>
      <c r="E92">
        <f>VLOOKUP($C$88,'Rúbricas BP Dimensão aplicável'!$B$2:$AA$157,10,FALSE)</f>
        <v>7.98</v>
      </c>
      <c r="F92">
        <f>VLOOKUP($C$88,'Rúbricas BP Dimensão aplicável'!$B$2:$AA$157,15,FALSE)</f>
        <v>7.92</v>
      </c>
      <c r="G92">
        <f>VLOOKUP($C$88,'Rúbricas BP Dimensão aplicável'!$B$2:$AA$157,20,FALSE)</f>
        <v>3.85</v>
      </c>
      <c r="H92">
        <f>VLOOKUP($C$88,'Rúbricas BP Dimensão aplicável'!$B$2:$AA$157,25,FALSE)</f>
        <v>9.4700000000000006</v>
      </c>
      <c r="J92">
        <v>0.01</v>
      </c>
    </row>
    <row r="93" spans="2:24" x14ac:dyDescent="0.3">
      <c r="B93" s="47"/>
      <c r="C93" t="s">
        <v>484</v>
      </c>
      <c r="D93">
        <f>VLOOKUP($C$88,'Rúbricas BP Todas as dimensões'!$B$2:$AA$157,5,FALSE)</f>
        <v>0</v>
      </c>
      <c r="E93">
        <f>VLOOKUP($C$88,'Rúbricas BP Todas as dimensões'!$B$2:$AA$157,10,FALSE)</f>
        <v>7.92</v>
      </c>
      <c r="F93" s="71">
        <f>VLOOKUP($C$88,'Rúbricas BP Todas as dimensões'!$B$2:$AA$157,15,FALSE)</f>
        <v>4.7300000000000004</v>
      </c>
      <c r="G93">
        <f>VLOOKUP($C$88,'Rúbricas BP Todas as dimensões'!$B$2:$AA$157,20,FALSE)</f>
        <v>5.53</v>
      </c>
      <c r="H93">
        <f>VLOOKUP($C$88,'Rúbricas BP Todas as dimensões'!$B$2:$AA$157,25,FALSE)</f>
        <v>7.74</v>
      </c>
      <c r="J93" s="57">
        <f>200%-SUM(J91:J92)</f>
        <v>1.115</v>
      </c>
    </row>
    <row r="94" spans="2:24" x14ac:dyDescent="0.3">
      <c r="B94" s="47"/>
      <c r="C94" t="s">
        <v>138</v>
      </c>
      <c r="D94" s="71">
        <f>VLOOKUP($C$88,Indicadores!$A$3:$G$31,3,FALSE)*100</f>
        <v>8.4831708091884721</v>
      </c>
      <c r="E94" s="71">
        <f>VLOOKUP($C$88,Indicadores!$A$3:$G$31,4,FALSE)*100</f>
        <v>10.916296336326162</v>
      </c>
      <c r="F94" s="71">
        <f>VLOOKUP($C$88,Indicadores!$A$3:$G$31,5,FALSE)*100</f>
        <v>9.4553430696491887</v>
      </c>
      <c r="G94" s="71">
        <f>VLOOKUP($C$88,Indicadores!$A$3:$G$31,6,FALSE)*100</f>
        <v>5.390895445445385</v>
      </c>
      <c r="H94" s="71">
        <f>VLOOKUP($C$88,Indicadores!$A$3:$G$31,7,FALSE)*100</f>
        <v>18.201777115387138</v>
      </c>
    </row>
    <row r="95" spans="2:24" x14ac:dyDescent="0.3">
      <c r="B95" s="47"/>
      <c r="C95" t="s">
        <v>510</v>
      </c>
      <c r="D95" s="71">
        <f>D94-D92</f>
        <v>8.4831708091884721</v>
      </c>
      <c r="E95" s="71">
        <f>E94-E92</f>
        <v>2.936296336326162</v>
      </c>
      <c r="F95" s="71">
        <f t="shared" ref="F95" si="31">F94-F92</f>
        <v>1.5353430696491888</v>
      </c>
      <c r="G95" s="71">
        <f t="shared" ref="G95" si="32">G94-G92</f>
        <v>1.5408954454453849</v>
      </c>
      <c r="H95" s="71">
        <f t="shared" ref="H95" si="33">H94-H92</f>
        <v>8.7317771153871373</v>
      </c>
    </row>
    <row r="96" spans="2:24" ht="15" thickBot="1" x14ac:dyDescent="0.35">
      <c r="B96" s="47"/>
    </row>
    <row r="97" spans="2:24" ht="15" thickBot="1" x14ac:dyDescent="0.35">
      <c r="B97" s="47"/>
      <c r="C97" s="105" t="s">
        <v>103</v>
      </c>
      <c r="D97">
        <v>2017</v>
      </c>
      <c r="E97">
        <v>2018</v>
      </c>
      <c r="F97">
        <v>2019</v>
      </c>
      <c r="G97">
        <v>2020</v>
      </c>
      <c r="H97">
        <v>2021</v>
      </c>
      <c r="K97">
        <v>0</v>
      </c>
      <c r="L97" t="s">
        <v>330</v>
      </c>
      <c r="M97" s="48">
        <v>0</v>
      </c>
    </row>
    <row r="98" spans="2:24" x14ac:dyDescent="0.3">
      <c r="B98" s="47"/>
      <c r="C98" t="s">
        <v>480</v>
      </c>
      <c r="D98">
        <f>VLOOKUP($C$97,'Rúbricas BP Dimensão aplicável'!$B$2:$AA$157,2,FALSE)</f>
        <v>0</v>
      </c>
      <c r="E98">
        <f>VLOOKUP($C$97,'Rúbricas BP Dimensão aplicável'!$B$2:$AA$157,7,FALSE)</f>
        <v>-0.1</v>
      </c>
      <c r="F98">
        <f>VLOOKUP($C$97,'Rúbricas BP Dimensão aplicável'!$B$2:$AA$157,12,FALSE)</f>
        <v>-1.63</v>
      </c>
      <c r="G98">
        <f>VLOOKUP($C$97,'Rúbricas BP Dimensão aplicável'!$B$2:$AA$157,17,FALSE)</f>
        <v>-0.4</v>
      </c>
      <c r="H98">
        <f>VLOOKUP($C$97,'Rúbricas BP Dimensão aplicável'!$B$2:$AA$157,22,FALSE)</f>
        <v>0</v>
      </c>
      <c r="J98" s="71">
        <f>H103</f>
        <v>8.5611813865268562</v>
      </c>
      <c r="K98">
        <f>H98</f>
        <v>0</v>
      </c>
      <c r="L98" t="s">
        <v>332</v>
      </c>
      <c r="M98" s="48">
        <f>M97+ 0.25 + 0.125</f>
        <v>0.375</v>
      </c>
    </row>
    <row r="99" spans="2:24" ht="15" x14ac:dyDescent="0.35">
      <c r="B99" s="47"/>
      <c r="C99" t="s">
        <v>481</v>
      </c>
      <c r="D99">
        <f>VLOOKUP($C$97,'Rúbricas BP Dimensão aplicável'!$B$2:$AA$157,3,FALSE)</f>
        <v>0</v>
      </c>
      <c r="E99">
        <f>VLOOKUP($C$97,'Rúbricas BP Dimensão aplicável'!$B$2:$AA$157,8,FALSE)</f>
        <v>7.58</v>
      </c>
      <c r="F99">
        <f>VLOOKUP($C$97,'Rúbricas BP Dimensão aplicável'!$B$2:$AA$157,13,FALSE)</f>
        <v>3.91</v>
      </c>
      <c r="G99">
        <f>VLOOKUP($C$97,'Rúbricas BP Dimensão aplicável'!$B$2:$AA$157,18,FALSE)</f>
        <v>4.29</v>
      </c>
      <c r="H99">
        <f>VLOOKUP($C$97,'Rúbricas BP Dimensão aplicável'!$B$2:$AA$157,23,FALSE)</f>
        <v>13.2</v>
      </c>
      <c r="J99" s="108" t="str">
        <f>VLOOKUP(J98,K97:M100,2,1)</f>
        <v>Moderadamente fraco</v>
      </c>
      <c r="K99">
        <f>H99</f>
        <v>13.2</v>
      </c>
      <c r="L99" t="s">
        <v>333</v>
      </c>
      <c r="M99" s="48">
        <f>M98+ 0.25</f>
        <v>0.625</v>
      </c>
      <c r="X99" s="111" t="str">
        <f>VLOOKUP(J99,'Backend dashboard rentabilidade'!O9:P12,2,0)</f>
        <v>Em comparação com o setor,  o desempenho da empresa no último ano da comparação foi moderadamente fraco, figurando entre as 50% piores da mesma dimensão.</v>
      </c>
    </row>
    <row r="100" spans="2:24" x14ac:dyDescent="0.3">
      <c r="B100" s="47"/>
      <c r="C100" t="s">
        <v>482</v>
      </c>
      <c r="D100">
        <f>VLOOKUP($C$97,'Rúbricas BP Dimensão aplicável'!$B$2:$AA$157,4,FALSE)</f>
        <v>0</v>
      </c>
      <c r="E100">
        <f>VLOOKUP($C$97,'Rúbricas BP Dimensão aplicável'!$B$2:$AA$157,9,FALSE)</f>
        <v>16.489999999999998</v>
      </c>
      <c r="F100">
        <f>VLOOKUP($C$97,'Rúbricas BP Dimensão aplicável'!$B$2:$AA$157,14,FALSE)</f>
        <v>14.87</v>
      </c>
      <c r="G100">
        <f>VLOOKUP($C$97,'Rúbricas BP Dimensão aplicável'!$B$2:$AA$157,19,FALSE)</f>
        <v>12.99</v>
      </c>
      <c r="H100">
        <f>VLOOKUP($C$97,'Rúbricas BP Dimensão aplicável'!$B$2:$AA$157,24,FALSE)</f>
        <v>25.69</v>
      </c>
      <c r="J100">
        <f>VLOOKUP(J98,K97:M100,3.1)</f>
        <v>0.375</v>
      </c>
      <c r="K100">
        <f>H100</f>
        <v>25.69</v>
      </c>
      <c r="L100" t="s">
        <v>331</v>
      </c>
      <c r="M100" s="48">
        <f>M99+ 0.25</f>
        <v>0.875</v>
      </c>
    </row>
    <row r="101" spans="2:24" x14ac:dyDescent="0.3">
      <c r="B101" s="47"/>
      <c r="C101" t="s">
        <v>483</v>
      </c>
      <c r="D101">
        <f>VLOOKUP($C$97,'Rúbricas BP Dimensão aplicável'!$B$2:$AA$157,5,FALSE)</f>
        <v>0</v>
      </c>
      <c r="E101">
        <f>VLOOKUP($C$97,'Rúbricas BP Dimensão aplicável'!$B$2:$AA$157,10,FALSE)</f>
        <v>10.4</v>
      </c>
      <c r="F101">
        <f>VLOOKUP($C$97,'Rúbricas BP Dimensão aplicável'!$B$2:$AA$157,15,FALSE)</f>
        <v>8.07</v>
      </c>
      <c r="G101">
        <f>VLOOKUP($C$97,'Rúbricas BP Dimensão aplicável'!$B$2:$AA$157,20,FALSE)</f>
        <v>3.69</v>
      </c>
      <c r="H101">
        <f>VLOOKUP($C$97,'Rúbricas BP Dimensão aplicável'!$B$2:$AA$157,25,FALSE)</f>
        <v>12.41</v>
      </c>
      <c r="J101">
        <v>0.01</v>
      </c>
    </row>
    <row r="102" spans="2:24" x14ac:dyDescent="0.3">
      <c r="B102" s="47"/>
      <c r="C102" t="s">
        <v>484</v>
      </c>
      <c r="D102">
        <f>VLOOKUP($C$97,'Rúbricas BP Todas as dimensões'!$B$2:$AA$157,5,FALSE)</f>
        <v>0</v>
      </c>
      <c r="E102">
        <f>VLOOKUP($C$97,'Rúbricas BP Todas as dimensões'!$B$2:$AA$157,10,FALSE)</f>
        <v>10.08</v>
      </c>
      <c r="F102" s="71">
        <f>VLOOKUP($C$97,'Rúbricas BP Todas as dimensões'!$B$2:$AA$157,15,FALSE)</f>
        <v>4.99</v>
      </c>
      <c r="G102">
        <f>VLOOKUP($C$97,'Rúbricas BP Todas as dimensões'!$B$2:$AA$157,20,FALSE)</f>
        <v>5.18</v>
      </c>
      <c r="H102">
        <f>VLOOKUP($C$97,'Rúbricas BP Todas as dimensões'!$B$2:$AA$157,25,FALSE)</f>
        <v>12.54</v>
      </c>
      <c r="J102" s="57">
        <f>200%-SUM(J100:J101)</f>
        <v>1.615</v>
      </c>
    </row>
    <row r="103" spans="2:24" x14ac:dyDescent="0.3">
      <c r="B103" s="47"/>
      <c r="C103" t="s">
        <v>138</v>
      </c>
      <c r="D103" s="71">
        <f>VLOOKUP($C$97,Indicadores!$A$3:$G$31,3,FALSE)*100</f>
        <v>4.6946986038589014</v>
      </c>
      <c r="E103" s="71">
        <f>VLOOKUP($C$97,Indicadores!$A$3:$G$31,4,FALSE)*100</f>
        <v>6.6916432358693365</v>
      </c>
      <c r="F103" s="71">
        <f>VLOOKUP($C$97,Indicadores!$A$3:$G$31,5,FALSE)*100</f>
        <v>6.7738547517142464</v>
      </c>
      <c r="G103" s="71">
        <f>VLOOKUP($C$97,Indicadores!$A$3:$G$31,6,FALSE)*100</f>
        <v>1.3018180321032964</v>
      </c>
      <c r="H103" s="71">
        <f>VLOOKUP($C$97,Indicadores!$A$3:$G$31,7,FALSE)*100</f>
        <v>8.5611813865268562</v>
      </c>
    </row>
    <row r="104" spans="2:24" x14ac:dyDescent="0.3">
      <c r="B104" s="47"/>
      <c r="C104" t="s">
        <v>510</v>
      </c>
      <c r="D104" s="71">
        <f>D103-D101</f>
        <v>4.6946986038589014</v>
      </c>
      <c r="E104" s="71">
        <f>E103-E101</f>
        <v>-3.7083567641306638</v>
      </c>
      <c r="F104" s="71">
        <f t="shared" ref="F104" si="34">F103-F101</f>
        <v>-1.2961452482857538</v>
      </c>
      <c r="G104" s="71">
        <f t="shared" ref="G104" si="35">G103-G101</f>
        <v>-2.3881819678967036</v>
      </c>
      <c r="H104" s="71">
        <f t="shared" ref="H104" si="36">H103-H101</f>
        <v>-3.8488186134731439</v>
      </c>
    </row>
    <row r="105" spans="2:24" ht="15" thickBot="1" x14ac:dyDescent="0.35">
      <c r="B105" s="47"/>
    </row>
    <row r="106" spans="2:24" ht="15" thickBot="1" x14ac:dyDescent="0.35">
      <c r="B106" s="47"/>
      <c r="C106" s="105" t="s">
        <v>135</v>
      </c>
      <c r="D106">
        <v>2017</v>
      </c>
      <c r="E106">
        <v>2018</v>
      </c>
      <c r="F106">
        <v>2019</v>
      </c>
      <c r="G106">
        <v>2020</v>
      </c>
      <c r="H106">
        <v>2021</v>
      </c>
      <c r="K106">
        <v>0</v>
      </c>
      <c r="L106" t="s">
        <v>330</v>
      </c>
      <c r="M106" s="48">
        <v>0</v>
      </c>
    </row>
    <row r="107" spans="2:24" x14ac:dyDescent="0.3">
      <c r="B107" s="47"/>
      <c r="C107" t="s">
        <v>480</v>
      </c>
      <c r="D107">
        <f>VLOOKUP($C$106,'Rúbricas BP Dimensão aplicável'!$B$2:$AA$157,2,FALSE)</f>
        <v>0</v>
      </c>
      <c r="E107">
        <f>VLOOKUP($C$106,'Rúbricas BP Dimensão aplicável'!$B$2:$AA$157,7,FALSE)</f>
        <v>0.01</v>
      </c>
      <c r="F107">
        <f>VLOOKUP($C$106,'Rúbricas BP Dimensão aplicável'!$B$2:$AA$157,12,FALSE)</f>
        <v>-4.93</v>
      </c>
      <c r="G107">
        <f>VLOOKUP($C$106,'Rúbricas BP Dimensão aplicável'!$B$2:$AA$157,17,FALSE)</f>
        <v>-1.86</v>
      </c>
      <c r="H107">
        <f>VLOOKUP($C$106,'Rúbricas BP Dimensão aplicável'!$B$2:$AA$157,22,FALSE)</f>
        <v>0</v>
      </c>
      <c r="J107" s="71">
        <f>H112</f>
        <v>14.800246248309575</v>
      </c>
      <c r="K107">
        <f>H107</f>
        <v>0</v>
      </c>
      <c r="L107" t="s">
        <v>332</v>
      </c>
      <c r="M107" s="48">
        <f>M106+ 0.25 + 0.125</f>
        <v>0.375</v>
      </c>
    </row>
    <row r="108" spans="2:24" ht="15" x14ac:dyDescent="0.35">
      <c r="B108" s="47"/>
      <c r="C108" t="s">
        <v>481</v>
      </c>
      <c r="D108">
        <f>VLOOKUP($C$106,'Rúbricas BP Dimensão aplicável'!$B$2:$AA$157,3,FALSE)</f>
        <v>0</v>
      </c>
      <c r="E108">
        <f>VLOOKUP($C$106,'Rúbricas BP Dimensão aplicável'!$B$2:$AA$157,8,FALSE)</f>
        <v>8.8000000000000007</v>
      </c>
      <c r="F108">
        <f>VLOOKUP($C$106,'Rúbricas BP Dimensão aplicável'!$B$2:$AA$157,13,FALSE)</f>
        <v>3.27</v>
      </c>
      <c r="G108">
        <f>VLOOKUP($C$106,'Rúbricas BP Dimensão aplicável'!$B$2:$AA$157,18,FALSE)</f>
        <v>3.73</v>
      </c>
      <c r="H108">
        <f>VLOOKUP($C$106,'Rúbricas BP Dimensão aplicável'!$B$2:$AA$157,23,FALSE)</f>
        <v>8.9600000000000009</v>
      </c>
      <c r="J108" s="108" t="str">
        <f>VLOOKUP(J107,K106:M109,2,1)</f>
        <v>Moderadamente forte</v>
      </c>
      <c r="K108">
        <f>H108</f>
        <v>8.9600000000000009</v>
      </c>
      <c r="L108" t="s">
        <v>333</v>
      </c>
      <c r="M108" s="48">
        <f>M107+ 0.25</f>
        <v>0.625</v>
      </c>
      <c r="X108" s="111" t="str">
        <f>VLOOKUP(J108,'Backend dashboard rentabilidade'!O9:P12,2,0)</f>
        <v>Em comparação com o setor,  o desempenho da empresa no último ano da comparação foi moderadamente forte, figurando entre as 50% melhores da mesma dimensão.</v>
      </c>
    </row>
    <row r="109" spans="2:24" x14ac:dyDescent="0.3">
      <c r="B109" s="47"/>
      <c r="C109" t="s">
        <v>482</v>
      </c>
      <c r="D109">
        <f>VLOOKUP($C$106,'Rúbricas BP Dimensão aplicável'!$B$2:$AA$157,4,FALSE)</f>
        <v>0</v>
      </c>
      <c r="E109">
        <f>VLOOKUP($C$106,'Rúbricas BP Dimensão aplicável'!$B$2:$AA$157,9,FALSE)</f>
        <v>34.68</v>
      </c>
      <c r="F109">
        <f>VLOOKUP($C$106,'Rúbricas BP Dimensão aplicável'!$B$2:$AA$157,14,FALSE)</f>
        <v>21.94</v>
      </c>
      <c r="G109">
        <f>VLOOKUP($C$106,'Rúbricas BP Dimensão aplicável'!$B$2:$AA$157,19,FALSE)</f>
        <v>13.05</v>
      </c>
      <c r="H109">
        <f>VLOOKUP($C$106,'Rúbricas BP Dimensão aplicável'!$B$2:$AA$157,24,FALSE)</f>
        <v>33.01</v>
      </c>
      <c r="J109">
        <f>VLOOKUP(J107,K106:M109,3.1)</f>
        <v>0.625</v>
      </c>
      <c r="K109">
        <f>H109</f>
        <v>33.01</v>
      </c>
      <c r="L109" t="s">
        <v>331</v>
      </c>
      <c r="M109" s="48">
        <f>M108+ 0.25</f>
        <v>0.875</v>
      </c>
    </row>
    <row r="110" spans="2:24" x14ac:dyDescent="0.3">
      <c r="B110" s="47"/>
      <c r="C110" t="s">
        <v>483</v>
      </c>
      <c r="D110">
        <f>VLOOKUP($C$106,'Rúbricas BP Dimensão aplicável'!$B$2:$AA$157,5,FALSE)</f>
        <v>0</v>
      </c>
      <c r="E110">
        <f>VLOOKUP($C$106,'Rúbricas BP Dimensão aplicável'!$B$2:$AA$157,10,FALSE)</f>
        <v>8.69</v>
      </c>
      <c r="F110">
        <f>VLOOKUP($C$106,'Rúbricas BP Dimensão aplicável'!$B$2:$AA$157,15,FALSE)</f>
        <v>7.58</v>
      </c>
      <c r="G110">
        <f>VLOOKUP($C$106,'Rúbricas BP Dimensão aplicável'!$B$2:$AA$157,20,FALSE)</f>
        <v>-1.72</v>
      </c>
      <c r="H110">
        <f>VLOOKUP($C$106,'Rúbricas BP Dimensão aplicável'!$B$2:$AA$157,25,FALSE)</f>
        <v>14.4</v>
      </c>
      <c r="J110">
        <v>0.01</v>
      </c>
    </row>
    <row r="111" spans="2:24" x14ac:dyDescent="0.3">
      <c r="B111" s="47"/>
      <c r="C111" t="s">
        <v>484</v>
      </c>
      <c r="D111">
        <f>VLOOKUP($C$106,'Rúbricas BP Todas as dimensões'!$B$2:$AA$157,5,FALSE)</f>
        <v>0</v>
      </c>
      <c r="E111">
        <f>VLOOKUP($C$106,'Rúbricas BP Todas as dimensões'!$B$2:$AA$157,10,FALSE)</f>
        <v>11.1</v>
      </c>
      <c r="F111" s="71">
        <f>VLOOKUP($C$106,'Rúbricas BP Todas as dimensões'!$B$2:$AA$157,15,FALSE)</f>
        <v>1.74</v>
      </c>
      <c r="G111">
        <f>VLOOKUP($C$106,'Rúbricas BP Todas as dimensões'!$B$2:$AA$157,20,FALSE)</f>
        <v>2.02</v>
      </c>
      <c r="H111">
        <f>VLOOKUP($C$106,'Rúbricas BP Todas as dimensões'!$B$2:$AA$157,25,FALSE)</f>
        <v>14.39</v>
      </c>
      <c r="J111" s="57">
        <f>200%-SUM(J109:J110)</f>
        <v>1.365</v>
      </c>
    </row>
    <row r="112" spans="2:24" x14ac:dyDescent="0.3">
      <c r="B112" s="47"/>
      <c r="C112" t="s">
        <v>138</v>
      </c>
      <c r="D112" s="71">
        <f>VLOOKUP($C$106,Indicadores!$A$3:$G$31,3,FALSE)*100</f>
        <v>6.8160768436231036</v>
      </c>
      <c r="E112" s="71">
        <f>VLOOKUP($C$106,Indicadores!$A$3:$G$31,4,FALSE)*100</f>
        <v>9.161377993512243</v>
      </c>
      <c r="F112" s="71">
        <f>VLOOKUP($C$106,Indicadores!$A$3:$G$31,5,FALSE)*100</f>
        <v>8.921635982574367</v>
      </c>
      <c r="G112" s="71">
        <f>VLOOKUP($C$106,Indicadores!$A$3:$G$31,6,FALSE)*100</f>
        <v>2.3236841706566427</v>
      </c>
      <c r="H112" s="71">
        <f>VLOOKUP($C$106,Indicadores!$A$3:$G$31,7,FALSE)*100</f>
        <v>14.800246248309575</v>
      </c>
    </row>
    <row r="113" spans="2:10" x14ac:dyDescent="0.3">
      <c r="B113" s="47"/>
      <c r="C113" t="s">
        <v>510</v>
      </c>
      <c r="D113" s="71">
        <f>D112-D110</f>
        <v>6.8160768436231036</v>
      </c>
      <c r="E113" s="71">
        <f>E112-E110</f>
        <v>0.47137799351224352</v>
      </c>
      <c r="F113" s="71">
        <f t="shared" ref="F113" si="37">F112-F110</f>
        <v>1.3416359825743669</v>
      </c>
      <c r="G113" s="71">
        <f t="shared" ref="G113" si="38">G112-G110</f>
        <v>4.0436841706566424</v>
      </c>
      <c r="H113" s="71">
        <f t="shared" ref="H113" si="39">H112-H110</f>
        <v>0.40024624830957478</v>
      </c>
    </row>
    <row r="125" spans="2:10" x14ac:dyDescent="0.3">
      <c r="J125" s="108" t="s">
        <v>511</v>
      </c>
    </row>
    <row r="138" spans="17:17" x14ac:dyDescent="0.3">
      <c r="Q138" s="108"/>
    </row>
  </sheetData>
  <sortState xmlns:xlrd2="http://schemas.microsoft.com/office/spreadsheetml/2017/richdata2" ref="AE7:AE27">
    <sortCondition ref="AE6:AE27"/>
  </sortState>
  <dataValidations disablePrompts="1" count="2">
    <dataValidation type="list" allowBlank="1" showInputMessage="1" showErrorMessage="1" sqref="C5" xr:uid="{C3DDB319-CF51-4C93-9A53-CC61489ADD9C}">
      <formula1>$I$29:$I$36</formula1>
    </dataValidation>
    <dataValidation type="list" allowBlank="1" showInputMessage="1" showErrorMessage="1" sqref="AM5 AM71 AM52 AM57 AM64" xr:uid="{E03448C8-EE7C-4FAF-9914-FCBA23011B4E}">
      <formula1>$AM$13:$AM$35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412E3-E59F-4B0C-AE0C-8179067F9B49}">
  <sheetPr codeName="Folha24"/>
  <dimension ref="B2:AF154"/>
  <sheetViews>
    <sheetView topLeftCell="B18" zoomScale="70" zoomScaleNormal="70" workbookViewId="0">
      <selection activeCell="P37" sqref="P37"/>
    </sheetView>
  </sheetViews>
  <sheetFormatPr defaultRowHeight="14.4" x14ac:dyDescent="0.3"/>
  <cols>
    <col min="2" max="2" width="81" customWidth="1"/>
    <col min="3" max="3" width="18.5546875" customWidth="1"/>
    <col min="4" max="4" width="21" customWidth="1"/>
    <col min="5" max="5" width="19" customWidth="1"/>
    <col min="6" max="6" width="22.6640625" customWidth="1"/>
    <col min="7" max="7" width="15.109375" customWidth="1"/>
    <col min="8" max="8" width="18.5546875" customWidth="1"/>
    <col min="9" max="10" width="19" customWidth="1"/>
    <col min="11" max="11" width="22.6640625" customWidth="1"/>
    <col min="12" max="12" width="15.109375" customWidth="1"/>
    <col min="13" max="13" width="18.5546875" customWidth="1"/>
    <col min="14" max="15" width="19" customWidth="1"/>
    <col min="16" max="16" width="22.6640625" customWidth="1"/>
    <col min="17" max="17" width="15.109375" customWidth="1"/>
    <col min="18" max="18" width="19" customWidth="1"/>
    <col min="19" max="20" width="19.44140625" customWidth="1"/>
    <col min="21" max="21" width="23" customWidth="1"/>
    <col min="22" max="22" width="15.5546875" customWidth="1"/>
    <col min="23" max="23" width="18.5546875" customWidth="1"/>
    <col min="24" max="25" width="19" customWidth="1"/>
    <col min="26" max="26" width="22.6640625" customWidth="1"/>
    <col min="27" max="27" width="15.109375" customWidth="1"/>
    <col min="28" max="28" width="15.5546875" customWidth="1"/>
    <col min="29" max="29" width="15.44140625" customWidth="1"/>
    <col min="30" max="30" width="15.5546875" customWidth="1"/>
    <col min="31" max="31" width="18.5546875" customWidth="1"/>
    <col min="32" max="32" width="12.21875" customWidth="1"/>
  </cols>
  <sheetData>
    <row r="2" spans="2:32" x14ac:dyDescent="0.3">
      <c r="B2" t="s">
        <v>516</v>
      </c>
      <c r="C2" t="s">
        <v>163</v>
      </c>
      <c r="D2" t="s">
        <v>164</v>
      </c>
      <c r="E2" t="s">
        <v>165</v>
      </c>
      <c r="F2" t="s">
        <v>166</v>
      </c>
      <c r="G2" t="s">
        <v>167</v>
      </c>
      <c r="H2" t="s">
        <v>168</v>
      </c>
      <c r="I2" t="s">
        <v>169</v>
      </c>
      <c r="J2" t="s">
        <v>170</v>
      </c>
      <c r="K2" t="s">
        <v>171</v>
      </c>
      <c r="L2" t="s">
        <v>172</v>
      </c>
      <c r="M2" t="s">
        <v>173</v>
      </c>
      <c r="N2" t="s">
        <v>174</v>
      </c>
      <c r="O2" t="s">
        <v>175</v>
      </c>
      <c r="P2" t="s">
        <v>176</v>
      </c>
      <c r="Q2" t="s">
        <v>177</v>
      </c>
      <c r="R2" t="s">
        <v>178</v>
      </c>
      <c r="S2" t="s">
        <v>179</v>
      </c>
      <c r="T2" t="s">
        <v>180</v>
      </c>
      <c r="U2" t="s">
        <v>181</v>
      </c>
      <c r="V2" t="s">
        <v>182</v>
      </c>
      <c r="W2" t="s">
        <v>183</v>
      </c>
      <c r="X2" t="s">
        <v>184</v>
      </c>
      <c r="Y2" t="s">
        <v>185</v>
      </c>
      <c r="Z2" t="s">
        <v>186</v>
      </c>
      <c r="AA2" t="s">
        <v>187</v>
      </c>
      <c r="AB2" t="s">
        <v>517</v>
      </c>
      <c r="AC2" t="s">
        <v>518</v>
      </c>
      <c r="AD2" t="s">
        <v>519</v>
      </c>
      <c r="AE2" t="s">
        <v>520</v>
      </c>
      <c r="AF2" t="s">
        <v>521</v>
      </c>
    </row>
    <row r="3" spans="2:32" x14ac:dyDescent="0.3">
      <c r="B3" t="s">
        <v>188</v>
      </c>
      <c r="K3">
        <v>8400</v>
      </c>
      <c r="L3">
        <v>1062000</v>
      </c>
      <c r="P3">
        <v>8600</v>
      </c>
      <c r="Q3">
        <v>1062000</v>
      </c>
      <c r="U3">
        <v>8400</v>
      </c>
      <c r="V3">
        <v>1062000</v>
      </c>
      <c r="Z3">
        <v>11100</v>
      </c>
      <c r="AA3">
        <v>1441000</v>
      </c>
      <c r="AE3">
        <v>11200</v>
      </c>
      <c r="AF3">
        <v>1333000</v>
      </c>
    </row>
    <row r="4" spans="2:32" x14ac:dyDescent="0.3">
      <c r="B4" t="s">
        <v>189</v>
      </c>
      <c r="H4">
        <v>0.09</v>
      </c>
      <c r="I4">
        <v>37.369999999999997</v>
      </c>
      <c r="J4">
        <v>64.42</v>
      </c>
      <c r="K4">
        <v>42.98</v>
      </c>
      <c r="M4">
        <v>0</v>
      </c>
      <c r="N4">
        <v>35.79</v>
      </c>
      <c r="O4">
        <v>70.61</v>
      </c>
      <c r="P4">
        <v>44.32</v>
      </c>
      <c r="R4">
        <v>0</v>
      </c>
      <c r="S4">
        <v>30.12</v>
      </c>
      <c r="T4">
        <v>62.57</v>
      </c>
      <c r="U4">
        <v>44</v>
      </c>
      <c r="W4">
        <v>0</v>
      </c>
      <c r="X4">
        <v>23.61</v>
      </c>
      <c r="Y4">
        <v>60.79</v>
      </c>
      <c r="Z4">
        <v>38.31</v>
      </c>
      <c r="AB4">
        <v>0</v>
      </c>
      <c r="AC4">
        <v>22.98</v>
      </c>
      <c r="AD4">
        <v>56.67</v>
      </c>
      <c r="AE4">
        <v>30.08</v>
      </c>
    </row>
    <row r="5" spans="2:32" x14ac:dyDescent="0.3">
      <c r="B5" t="s">
        <v>190</v>
      </c>
      <c r="K5">
        <v>52700</v>
      </c>
      <c r="L5">
        <v>6697000</v>
      </c>
      <c r="P5">
        <v>81600</v>
      </c>
      <c r="Q5">
        <v>10115000</v>
      </c>
      <c r="U5">
        <v>117200</v>
      </c>
      <c r="V5">
        <v>14770000</v>
      </c>
      <c r="Z5">
        <v>166100</v>
      </c>
      <c r="AA5">
        <v>21591000</v>
      </c>
      <c r="AE5">
        <v>131400</v>
      </c>
      <c r="AF5">
        <v>15633000</v>
      </c>
    </row>
    <row r="6" spans="2:32" x14ac:dyDescent="0.3">
      <c r="B6" t="s">
        <v>148</v>
      </c>
      <c r="K6">
        <v>2655000</v>
      </c>
      <c r="L6">
        <v>337164000</v>
      </c>
      <c r="P6">
        <v>2689000</v>
      </c>
      <c r="Q6">
        <v>333462000</v>
      </c>
      <c r="U6">
        <v>2692000</v>
      </c>
      <c r="V6">
        <v>339161000</v>
      </c>
      <c r="Z6">
        <v>2850000</v>
      </c>
      <c r="AA6">
        <v>370515000</v>
      </c>
      <c r="AE6">
        <v>3329000</v>
      </c>
      <c r="AF6">
        <v>396171000</v>
      </c>
    </row>
    <row r="7" spans="2:32" x14ac:dyDescent="0.3">
      <c r="B7" t="s">
        <v>43</v>
      </c>
      <c r="K7">
        <v>1178000</v>
      </c>
      <c r="L7">
        <v>149655000</v>
      </c>
      <c r="P7">
        <v>1177000</v>
      </c>
      <c r="Q7">
        <v>145976000</v>
      </c>
      <c r="U7">
        <v>1139000</v>
      </c>
      <c r="V7">
        <v>143470000</v>
      </c>
      <c r="Z7">
        <v>1287000</v>
      </c>
      <c r="AA7">
        <v>167260000</v>
      </c>
      <c r="AE7">
        <v>1533000</v>
      </c>
      <c r="AF7">
        <v>182450000</v>
      </c>
    </row>
    <row r="8" spans="2:32" x14ac:dyDescent="0.3">
      <c r="B8" t="s">
        <v>31</v>
      </c>
      <c r="K8">
        <v>1476000</v>
      </c>
      <c r="L8">
        <v>187509000</v>
      </c>
      <c r="P8">
        <v>1512000</v>
      </c>
      <c r="Q8">
        <v>187485000</v>
      </c>
      <c r="U8">
        <v>1553000</v>
      </c>
      <c r="V8">
        <v>195691000</v>
      </c>
      <c r="Z8">
        <v>1564000</v>
      </c>
      <c r="AA8">
        <v>203255000</v>
      </c>
      <c r="AE8">
        <v>1796000</v>
      </c>
      <c r="AF8">
        <v>213721000</v>
      </c>
    </row>
    <row r="9" spans="2:32" x14ac:dyDescent="0.3">
      <c r="B9" t="s">
        <v>191</v>
      </c>
      <c r="K9">
        <v>644000</v>
      </c>
      <c r="L9">
        <v>81793000</v>
      </c>
      <c r="P9">
        <v>659100</v>
      </c>
      <c r="Q9">
        <v>81730000</v>
      </c>
      <c r="U9">
        <v>648000</v>
      </c>
      <c r="V9">
        <v>81650000</v>
      </c>
      <c r="Z9">
        <v>627700</v>
      </c>
      <c r="AA9">
        <v>81606000</v>
      </c>
      <c r="AE9">
        <v>685900</v>
      </c>
      <c r="AF9">
        <v>81627000</v>
      </c>
    </row>
    <row r="10" spans="2:32" x14ac:dyDescent="0.3">
      <c r="B10" t="s">
        <v>192</v>
      </c>
      <c r="K10">
        <v>0</v>
      </c>
      <c r="L10">
        <v>3800</v>
      </c>
      <c r="P10">
        <v>0</v>
      </c>
      <c r="Q10">
        <v>3800</v>
      </c>
      <c r="U10">
        <v>0</v>
      </c>
      <c r="V10">
        <v>0</v>
      </c>
      <c r="Z10">
        <v>0</v>
      </c>
      <c r="AA10">
        <v>0</v>
      </c>
      <c r="AE10">
        <v>-200</v>
      </c>
      <c r="AF10">
        <v>-28600</v>
      </c>
    </row>
    <row r="11" spans="2:32" x14ac:dyDescent="0.3">
      <c r="B11" t="s">
        <v>41</v>
      </c>
      <c r="K11">
        <v>21100</v>
      </c>
      <c r="L11">
        <v>2685000</v>
      </c>
      <c r="P11">
        <v>22600</v>
      </c>
      <c r="Q11">
        <v>2798000</v>
      </c>
      <c r="U11">
        <v>23600</v>
      </c>
      <c r="V11">
        <v>2969000</v>
      </c>
      <c r="Z11">
        <v>22400</v>
      </c>
      <c r="AA11">
        <v>2907000</v>
      </c>
      <c r="AE11">
        <v>29600</v>
      </c>
      <c r="AF11">
        <v>3519000</v>
      </c>
    </row>
    <row r="12" spans="2:32" x14ac:dyDescent="0.3">
      <c r="B12" t="s">
        <v>87</v>
      </c>
      <c r="K12">
        <v>284400</v>
      </c>
      <c r="L12">
        <v>36113000</v>
      </c>
      <c r="P12">
        <v>89800</v>
      </c>
      <c r="Q12">
        <v>11132000</v>
      </c>
      <c r="U12">
        <v>82600</v>
      </c>
      <c r="V12">
        <v>10412000</v>
      </c>
      <c r="Z12">
        <v>293600</v>
      </c>
      <c r="AA12">
        <v>38174000</v>
      </c>
      <c r="AE12">
        <v>423600</v>
      </c>
      <c r="AF12">
        <v>50414000</v>
      </c>
    </row>
    <row r="13" spans="2:32" x14ac:dyDescent="0.3">
      <c r="B13" t="s">
        <v>193</v>
      </c>
      <c r="K13">
        <v>309500</v>
      </c>
      <c r="L13">
        <v>39304000</v>
      </c>
      <c r="P13">
        <v>121400</v>
      </c>
      <c r="Q13">
        <v>15059000</v>
      </c>
      <c r="U13">
        <v>112000</v>
      </c>
      <c r="V13">
        <v>14108000</v>
      </c>
      <c r="Z13">
        <v>354800</v>
      </c>
      <c r="AA13">
        <v>46118000</v>
      </c>
      <c r="AE13">
        <v>468100</v>
      </c>
      <c r="AF13">
        <v>55702000</v>
      </c>
    </row>
    <row r="14" spans="2:32" x14ac:dyDescent="0.3">
      <c r="B14" t="s">
        <v>194</v>
      </c>
      <c r="H14">
        <v>16</v>
      </c>
      <c r="I14">
        <v>38.090000000000003</v>
      </c>
      <c r="J14">
        <v>70.06</v>
      </c>
      <c r="K14">
        <v>47.91</v>
      </c>
      <c r="M14">
        <v>15.23</v>
      </c>
      <c r="N14">
        <v>39.450000000000003</v>
      </c>
      <c r="O14">
        <v>67.47</v>
      </c>
      <c r="P14">
        <v>47.18</v>
      </c>
      <c r="R14">
        <v>16.68</v>
      </c>
      <c r="S14">
        <v>43.83</v>
      </c>
      <c r="T14">
        <v>74.27</v>
      </c>
      <c r="U14">
        <v>47.62</v>
      </c>
      <c r="W14">
        <v>18.68</v>
      </c>
      <c r="X14">
        <v>48.04</v>
      </c>
      <c r="Y14">
        <v>72.75</v>
      </c>
      <c r="Z14">
        <v>49.76</v>
      </c>
      <c r="AB14">
        <v>21.16</v>
      </c>
      <c r="AC14">
        <v>52.58</v>
      </c>
      <c r="AD14">
        <v>79.709999999999994</v>
      </c>
      <c r="AE14">
        <v>57.26</v>
      </c>
    </row>
    <row r="15" spans="2:32" x14ac:dyDescent="0.3">
      <c r="B15" t="s">
        <v>53</v>
      </c>
      <c r="K15">
        <v>156700</v>
      </c>
      <c r="L15">
        <v>19902000</v>
      </c>
      <c r="P15">
        <v>125800</v>
      </c>
      <c r="Q15">
        <v>15595000</v>
      </c>
      <c r="U15">
        <v>166700</v>
      </c>
      <c r="V15">
        <v>21004000</v>
      </c>
      <c r="Z15">
        <v>322900</v>
      </c>
      <c r="AA15">
        <v>41979000</v>
      </c>
      <c r="AE15">
        <v>278800</v>
      </c>
      <c r="AF15">
        <v>33177000</v>
      </c>
    </row>
    <row r="16" spans="2:32" x14ac:dyDescent="0.3">
      <c r="B16" t="s">
        <v>195</v>
      </c>
      <c r="H16">
        <v>0.82</v>
      </c>
      <c r="I16">
        <v>6.04</v>
      </c>
      <c r="J16">
        <v>23.02</v>
      </c>
      <c r="K16">
        <v>5.9</v>
      </c>
      <c r="M16">
        <v>0.69</v>
      </c>
      <c r="N16">
        <v>3.59</v>
      </c>
      <c r="O16">
        <v>19.28</v>
      </c>
      <c r="P16">
        <v>4.68</v>
      </c>
      <c r="R16">
        <v>1.1399999999999999</v>
      </c>
      <c r="S16">
        <v>5.17</v>
      </c>
      <c r="T16">
        <v>26.18</v>
      </c>
      <c r="U16">
        <v>6.19</v>
      </c>
      <c r="W16">
        <v>1.96</v>
      </c>
      <c r="X16">
        <v>10.19</v>
      </c>
      <c r="Y16">
        <v>36.69</v>
      </c>
      <c r="Z16">
        <v>11.33</v>
      </c>
      <c r="AB16">
        <v>1.59</v>
      </c>
      <c r="AC16">
        <v>7.8</v>
      </c>
      <c r="AD16">
        <v>33.909999999999997</v>
      </c>
      <c r="AE16">
        <v>8.3699999999999992</v>
      </c>
    </row>
    <row r="17" spans="2:32" x14ac:dyDescent="0.3">
      <c r="B17" t="s">
        <v>196</v>
      </c>
      <c r="K17">
        <v>190200</v>
      </c>
      <c r="L17">
        <v>22061000</v>
      </c>
      <c r="P17">
        <v>166000</v>
      </c>
      <c r="Q17">
        <v>18930000</v>
      </c>
      <c r="U17">
        <v>225900</v>
      </c>
      <c r="V17">
        <v>26209000</v>
      </c>
      <c r="Z17">
        <v>368300</v>
      </c>
      <c r="AA17">
        <v>44563000</v>
      </c>
      <c r="AE17">
        <v>357800</v>
      </c>
      <c r="AF17">
        <v>40784000</v>
      </c>
    </row>
    <row r="18" spans="2:32" x14ac:dyDescent="0.3">
      <c r="B18" t="s">
        <v>197</v>
      </c>
      <c r="K18">
        <v>137500</v>
      </c>
      <c r="L18">
        <v>15949000</v>
      </c>
      <c r="P18">
        <v>207900</v>
      </c>
      <c r="Q18">
        <v>23697000</v>
      </c>
      <c r="U18">
        <v>167900</v>
      </c>
      <c r="V18">
        <v>19482000</v>
      </c>
      <c r="Z18">
        <v>217800</v>
      </c>
      <c r="AA18">
        <v>26348000</v>
      </c>
      <c r="AE18">
        <v>361300</v>
      </c>
      <c r="AF18">
        <v>41189000</v>
      </c>
    </row>
    <row r="19" spans="2:32" x14ac:dyDescent="0.3">
      <c r="B19" t="s">
        <v>198</v>
      </c>
      <c r="K19">
        <v>1272000</v>
      </c>
      <c r="L19">
        <v>161540000</v>
      </c>
      <c r="P19">
        <v>1269000</v>
      </c>
      <c r="Q19">
        <v>157333000</v>
      </c>
      <c r="U19">
        <v>1282000</v>
      </c>
      <c r="V19">
        <v>161509000</v>
      </c>
      <c r="Z19">
        <v>1418000</v>
      </c>
      <c r="AA19">
        <v>184354000</v>
      </c>
      <c r="AE19">
        <v>1906000</v>
      </c>
      <c r="AF19">
        <v>226839000</v>
      </c>
    </row>
    <row r="20" spans="2:32" x14ac:dyDescent="0.3">
      <c r="B20" t="s">
        <v>199</v>
      </c>
      <c r="H20">
        <v>16</v>
      </c>
      <c r="I20">
        <v>38.090000000000003</v>
      </c>
      <c r="J20">
        <v>70.06</v>
      </c>
      <c r="K20">
        <v>47.91</v>
      </c>
      <c r="M20">
        <v>15.23</v>
      </c>
      <c r="N20">
        <v>39.450000000000003</v>
      </c>
      <c r="O20">
        <v>67.47</v>
      </c>
      <c r="P20">
        <v>47.18</v>
      </c>
      <c r="R20">
        <v>16.68</v>
      </c>
      <c r="S20">
        <v>43.83</v>
      </c>
      <c r="T20">
        <v>74.27</v>
      </c>
      <c r="U20">
        <v>47.62</v>
      </c>
      <c r="W20">
        <v>18.68</v>
      </c>
      <c r="X20">
        <v>48.04</v>
      </c>
      <c r="Y20">
        <v>72.75</v>
      </c>
      <c r="Z20">
        <v>49.76</v>
      </c>
      <c r="AB20">
        <v>21.16</v>
      </c>
      <c r="AC20">
        <v>52.58</v>
      </c>
      <c r="AD20">
        <v>79.709999999999994</v>
      </c>
      <c r="AE20">
        <v>57.26</v>
      </c>
    </row>
    <row r="21" spans="2:32" x14ac:dyDescent="0.3">
      <c r="B21" t="s">
        <v>200</v>
      </c>
      <c r="K21">
        <v>1131000</v>
      </c>
      <c r="L21">
        <v>143601000</v>
      </c>
      <c r="P21">
        <v>1247000</v>
      </c>
      <c r="Q21">
        <v>154603000</v>
      </c>
      <c r="U21">
        <v>1256000</v>
      </c>
      <c r="V21">
        <v>158247000</v>
      </c>
      <c r="Z21">
        <v>1214000</v>
      </c>
      <c r="AA21">
        <v>157830000</v>
      </c>
      <c r="AE21">
        <v>1597000</v>
      </c>
      <c r="AF21">
        <v>190096000</v>
      </c>
    </row>
    <row r="22" spans="2:32" x14ac:dyDescent="0.3">
      <c r="B22" t="s">
        <v>201</v>
      </c>
      <c r="K22">
        <v>771900</v>
      </c>
      <c r="L22">
        <v>98038000</v>
      </c>
      <c r="P22">
        <v>759200</v>
      </c>
      <c r="Q22">
        <v>94146000</v>
      </c>
      <c r="U22">
        <v>743800</v>
      </c>
      <c r="V22">
        <v>93725000</v>
      </c>
      <c r="Z22">
        <v>718400</v>
      </c>
      <c r="AA22">
        <v>93392000</v>
      </c>
      <c r="AE22">
        <v>785700</v>
      </c>
      <c r="AF22">
        <v>93497000</v>
      </c>
    </row>
    <row r="23" spans="2:32" x14ac:dyDescent="0.3">
      <c r="B23" t="s">
        <v>45</v>
      </c>
      <c r="K23">
        <v>359000</v>
      </c>
      <c r="L23">
        <v>45588000</v>
      </c>
      <c r="P23">
        <v>378300</v>
      </c>
      <c r="Q23">
        <v>46914000</v>
      </c>
      <c r="U23">
        <v>399300</v>
      </c>
      <c r="V23">
        <v>50309000</v>
      </c>
      <c r="Z23">
        <v>482800</v>
      </c>
      <c r="AA23">
        <v>62760000</v>
      </c>
      <c r="AE23">
        <v>556700</v>
      </c>
      <c r="AF23">
        <v>66253000</v>
      </c>
    </row>
    <row r="24" spans="2:32" x14ac:dyDescent="0.3">
      <c r="B24" t="s">
        <v>202</v>
      </c>
      <c r="H24">
        <v>0</v>
      </c>
      <c r="I24">
        <v>7.42</v>
      </c>
      <c r="J24">
        <v>17.16</v>
      </c>
      <c r="K24">
        <v>13.52</v>
      </c>
      <c r="M24">
        <v>0.6</v>
      </c>
      <c r="N24">
        <v>8.18</v>
      </c>
      <c r="O24">
        <v>18.23</v>
      </c>
      <c r="P24">
        <v>14.07</v>
      </c>
      <c r="R24">
        <v>0</v>
      </c>
      <c r="S24">
        <v>6.69</v>
      </c>
      <c r="T24">
        <v>19.38</v>
      </c>
      <c r="U24">
        <v>14.83</v>
      </c>
      <c r="W24">
        <v>0</v>
      </c>
      <c r="X24">
        <v>6.28</v>
      </c>
      <c r="Y24">
        <v>19.329999999999998</v>
      </c>
      <c r="Z24">
        <v>16.940000000000001</v>
      </c>
      <c r="AB24">
        <v>0.47</v>
      </c>
      <c r="AC24">
        <v>5.34</v>
      </c>
      <c r="AD24">
        <v>19.63</v>
      </c>
      <c r="AE24">
        <v>16.72</v>
      </c>
    </row>
    <row r="25" spans="2:32" x14ac:dyDescent="0.3">
      <c r="B25" t="s">
        <v>203</v>
      </c>
      <c r="H25">
        <v>3.6</v>
      </c>
      <c r="I25">
        <v>13.07</v>
      </c>
      <c r="J25">
        <v>24.31</v>
      </c>
      <c r="K25">
        <v>9.3800000000000008</v>
      </c>
      <c r="M25">
        <v>1.88</v>
      </c>
      <c r="N25">
        <v>9.39</v>
      </c>
      <c r="O25">
        <v>19.260000000000002</v>
      </c>
      <c r="P25">
        <v>5.2</v>
      </c>
      <c r="R25">
        <v>3.71</v>
      </c>
      <c r="S25">
        <v>14.69</v>
      </c>
      <c r="T25">
        <v>38.89</v>
      </c>
      <c r="U25">
        <v>6.32</v>
      </c>
      <c r="W25">
        <v>5.65</v>
      </c>
      <c r="X25">
        <v>23.91</v>
      </c>
      <c r="Y25">
        <v>91.02</v>
      </c>
      <c r="Z25">
        <v>16.649999999999999</v>
      </c>
      <c r="AB25">
        <v>8.77</v>
      </c>
      <c r="AC25">
        <v>23.16</v>
      </c>
      <c r="AD25">
        <v>66.53</v>
      </c>
      <c r="AE25">
        <v>22.84</v>
      </c>
    </row>
    <row r="26" spans="2:32" x14ac:dyDescent="0.3">
      <c r="B26" t="s">
        <v>204</v>
      </c>
      <c r="K26">
        <v>2682000</v>
      </c>
      <c r="L26">
        <v>340545000</v>
      </c>
      <c r="P26">
        <v>2267000</v>
      </c>
      <c r="Q26">
        <v>281074000</v>
      </c>
      <c r="U26">
        <v>1813000</v>
      </c>
      <c r="V26">
        <v>228463000</v>
      </c>
      <c r="Z26">
        <v>3640000</v>
      </c>
      <c r="AA26">
        <v>473188000</v>
      </c>
      <c r="AE26">
        <v>4670000</v>
      </c>
      <c r="AF26">
        <v>555678000</v>
      </c>
    </row>
    <row r="27" spans="2:32" x14ac:dyDescent="0.3">
      <c r="B27" t="s">
        <v>205</v>
      </c>
      <c r="K27">
        <v>129800</v>
      </c>
      <c r="L27">
        <v>16487000</v>
      </c>
      <c r="P27">
        <v>98500</v>
      </c>
      <c r="Q27">
        <v>12209000</v>
      </c>
      <c r="U27">
        <v>65200</v>
      </c>
      <c r="V27">
        <v>8212000</v>
      </c>
      <c r="Z27">
        <v>93200</v>
      </c>
      <c r="AA27">
        <v>12119000</v>
      </c>
      <c r="AE27">
        <v>163100</v>
      </c>
      <c r="AF27">
        <v>19404000</v>
      </c>
    </row>
    <row r="28" spans="2:32" x14ac:dyDescent="0.3">
      <c r="B28" t="s">
        <v>206</v>
      </c>
      <c r="K28">
        <v>2874000</v>
      </c>
      <c r="L28">
        <v>365004000</v>
      </c>
      <c r="P28">
        <v>2469000</v>
      </c>
      <c r="Q28">
        <v>306095000</v>
      </c>
      <c r="U28">
        <v>2032000</v>
      </c>
      <c r="V28">
        <v>255974000</v>
      </c>
      <c r="Z28">
        <v>3905000</v>
      </c>
      <c r="AA28">
        <v>507638000</v>
      </c>
      <c r="AE28">
        <v>4972000</v>
      </c>
      <c r="AF28">
        <v>591685000</v>
      </c>
    </row>
    <row r="29" spans="2:32" x14ac:dyDescent="0.3">
      <c r="B29" t="s">
        <v>207</v>
      </c>
      <c r="K29">
        <v>86.8</v>
      </c>
      <c r="P29">
        <v>86.48</v>
      </c>
      <c r="U29">
        <v>85.55</v>
      </c>
      <c r="Z29">
        <v>86.09</v>
      </c>
      <c r="AE29">
        <v>84.71</v>
      </c>
    </row>
    <row r="30" spans="2:32" x14ac:dyDescent="0.3">
      <c r="B30" t="s">
        <v>208</v>
      </c>
      <c r="K30">
        <v>86.99</v>
      </c>
      <c r="P30">
        <v>86.82</v>
      </c>
      <c r="U30">
        <v>85.61</v>
      </c>
      <c r="Z30">
        <v>88.67</v>
      </c>
      <c r="AE30">
        <v>88.69</v>
      </c>
    </row>
    <row r="31" spans="2:32" x14ac:dyDescent="0.3">
      <c r="B31" t="s">
        <v>209</v>
      </c>
      <c r="K31">
        <v>3024000</v>
      </c>
      <c r="L31">
        <v>384097000</v>
      </c>
      <c r="P31">
        <v>2601000</v>
      </c>
      <c r="Q31">
        <v>322511000</v>
      </c>
      <c r="U31">
        <v>2144000</v>
      </c>
      <c r="V31">
        <v>270166000</v>
      </c>
      <c r="Z31">
        <v>4041000</v>
      </c>
      <c r="AA31">
        <v>525379000</v>
      </c>
      <c r="AE31">
        <v>5146000</v>
      </c>
      <c r="AF31">
        <v>612350000</v>
      </c>
    </row>
    <row r="32" spans="2:32" x14ac:dyDescent="0.3">
      <c r="B32" t="s">
        <v>144</v>
      </c>
      <c r="K32">
        <v>2699000</v>
      </c>
      <c r="L32">
        <v>342751000</v>
      </c>
      <c r="P32">
        <v>2297000</v>
      </c>
      <c r="Q32">
        <v>284870000</v>
      </c>
      <c r="U32">
        <v>1857000</v>
      </c>
      <c r="V32">
        <v>233958000</v>
      </c>
      <c r="Z32">
        <v>3680000</v>
      </c>
      <c r="AA32">
        <v>478393000</v>
      </c>
      <c r="AE32">
        <v>4677000</v>
      </c>
      <c r="AF32">
        <v>556549000</v>
      </c>
    </row>
    <row r="33" spans="2:32" x14ac:dyDescent="0.3">
      <c r="B33" t="s">
        <v>210</v>
      </c>
      <c r="H33">
        <v>2.1</v>
      </c>
      <c r="I33">
        <v>3.45</v>
      </c>
      <c r="J33">
        <v>4.87</v>
      </c>
      <c r="K33">
        <v>2.97</v>
      </c>
      <c r="M33">
        <v>1.3</v>
      </c>
      <c r="N33">
        <v>2.86</v>
      </c>
      <c r="O33">
        <v>4.54</v>
      </c>
      <c r="P33">
        <v>2.56</v>
      </c>
      <c r="R33">
        <v>0.94</v>
      </c>
      <c r="S33">
        <v>1.97</v>
      </c>
      <c r="T33">
        <v>3.23</v>
      </c>
      <c r="U33">
        <v>2.19</v>
      </c>
      <c r="W33">
        <v>1.1100000000000001</v>
      </c>
      <c r="X33">
        <v>2.13</v>
      </c>
      <c r="Y33">
        <v>4.12</v>
      </c>
      <c r="Z33">
        <v>2.44</v>
      </c>
      <c r="AB33">
        <v>1.42</v>
      </c>
      <c r="AC33">
        <v>2.36</v>
      </c>
      <c r="AD33">
        <v>4.2</v>
      </c>
      <c r="AE33">
        <v>2.57</v>
      </c>
    </row>
    <row r="34" spans="2:32" x14ac:dyDescent="0.3">
      <c r="B34" t="s">
        <v>211</v>
      </c>
      <c r="K34">
        <v>12600</v>
      </c>
      <c r="L34">
        <v>1595000</v>
      </c>
      <c r="P34">
        <v>9100</v>
      </c>
      <c r="Q34">
        <v>1128000</v>
      </c>
      <c r="U34">
        <v>8500</v>
      </c>
      <c r="V34">
        <v>1066000</v>
      </c>
      <c r="Z34">
        <v>7100</v>
      </c>
      <c r="AA34">
        <v>918500</v>
      </c>
      <c r="AE34">
        <v>8000</v>
      </c>
      <c r="AF34">
        <v>957300</v>
      </c>
    </row>
    <row r="35" spans="2:32" x14ac:dyDescent="0.3">
      <c r="B35" t="s">
        <v>212</v>
      </c>
      <c r="K35">
        <v>1600</v>
      </c>
      <c r="L35">
        <v>200900</v>
      </c>
      <c r="P35">
        <v>1300</v>
      </c>
      <c r="Q35">
        <v>159300</v>
      </c>
      <c r="U35">
        <v>9700</v>
      </c>
      <c r="V35">
        <v>1225000</v>
      </c>
      <c r="Z35">
        <v>13000</v>
      </c>
      <c r="AA35">
        <v>1693000</v>
      </c>
      <c r="AE35">
        <v>14000</v>
      </c>
      <c r="AF35">
        <v>1662000</v>
      </c>
    </row>
    <row r="36" spans="2:32" x14ac:dyDescent="0.3">
      <c r="B36" t="s">
        <v>213</v>
      </c>
      <c r="H36">
        <v>11</v>
      </c>
      <c r="I36">
        <v>47</v>
      </c>
      <c r="J36">
        <v>118</v>
      </c>
      <c r="K36">
        <v>63</v>
      </c>
      <c r="M36">
        <v>16</v>
      </c>
      <c r="N36">
        <v>73</v>
      </c>
      <c r="O36">
        <v>158</v>
      </c>
      <c r="P36">
        <v>89</v>
      </c>
      <c r="R36">
        <v>21</v>
      </c>
      <c r="S36">
        <v>76</v>
      </c>
      <c r="T36">
        <v>150</v>
      </c>
      <c r="U36">
        <v>89</v>
      </c>
      <c r="W36">
        <v>7</v>
      </c>
      <c r="X36">
        <v>30</v>
      </c>
      <c r="Y36">
        <v>112</v>
      </c>
      <c r="Z36">
        <v>42</v>
      </c>
      <c r="AB36">
        <v>8</v>
      </c>
      <c r="AC36">
        <v>33</v>
      </c>
      <c r="AD36">
        <v>100</v>
      </c>
      <c r="AE36">
        <v>46</v>
      </c>
    </row>
    <row r="37" spans="2:32" x14ac:dyDescent="0.3">
      <c r="B37" t="s">
        <v>96</v>
      </c>
      <c r="H37">
        <v>3.06</v>
      </c>
      <c r="I37">
        <v>6.6</v>
      </c>
      <c r="J37">
        <v>11.5</v>
      </c>
      <c r="K37">
        <v>7.92</v>
      </c>
      <c r="M37">
        <v>0.99</v>
      </c>
      <c r="N37">
        <v>4.8</v>
      </c>
      <c r="O37">
        <v>10</v>
      </c>
      <c r="P37">
        <v>4.7300000000000004</v>
      </c>
      <c r="R37">
        <v>1.92</v>
      </c>
      <c r="S37">
        <v>6.99</v>
      </c>
      <c r="T37">
        <v>14.31</v>
      </c>
      <c r="U37">
        <v>5.53</v>
      </c>
      <c r="W37">
        <v>3.1</v>
      </c>
      <c r="X37">
        <v>9.67</v>
      </c>
      <c r="Y37">
        <v>17.61</v>
      </c>
      <c r="Z37">
        <v>7.74</v>
      </c>
      <c r="AB37">
        <v>3.55</v>
      </c>
      <c r="AC37">
        <v>8.5399999999999991</v>
      </c>
      <c r="AD37">
        <v>18.329999999999998</v>
      </c>
      <c r="AE37">
        <v>8.32</v>
      </c>
    </row>
    <row r="38" spans="2:32" x14ac:dyDescent="0.3">
      <c r="B38" t="s">
        <v>214</v>
      </c>
      <c r="H38">
        <v>3.52</v>
      </c>
      <c r="I38">
        <v>8.07</v>
      </c>
      <c r="J38">
        <v>15.17</v>
      </c>
      <c r="K38">
        <v>7.2</v>
      </c>
      <c r="M38">
        <v>2.48</v>
      </c>
      <c r="N38">
        <v>4.16</v>
      </c>
      <c r="O38">
        <v>12.55</v>
      </c>
      <c r="P38">
        <v>2.16</v>
      </c>
      <c r="R38">
        <v>2.41</v>
      </c>
      <c r="S38">
        <v>5.1100000000000003</v>
      </c>
      <c r="T38">
        <v>9.06</v>
      </c>
      <c r="U38">
        <v>2.19</v>
      </c>
      <c r="W38">
        <v>4.9000000000000004</v>
      </c>
      <c r="X38">
        <v>15.07</v>
      </c>
      <c r="Y38">
        <v>26.21</v>
      </c>
      <c r="Z38">
        <v>9.2799999999999994</v>
      </c>
      <c r="AB38">
        <v>4.97</v>
      </c>
      <c r="AC38">
        <v>12.67</v>
      </c>
      <c r="AD38">
        <v>23.8</v>
      </c>
      <c r="AE38">
        <v>11.11</v>
      </c>
    </row>
    <row r="39" spans="2:32" x14ac:dyDescent="0.3">
      <c r="B39" t="s">
        <v>215</v>
      </c>
      <c r="H39">
        <v>1.17</v>
      </c>
      <c r="I39">
        <v>1.64</v>
      </c>
      <c r="J39">
        <v>2.68</v>
      </c>
      <c r="K39">
        <v>1.78</v>
      </c>
      <c r="M39">
        <v>1.1200000000000001</v>
      </c>
      <c r="N39">
        <v>1.63</v>
      </c>
      <c r="O39">
        <v>2.5099999999999998</v>
      </c>
      <c r="P39">
        <v>1.18</v>
      </c>
      <c r="R39">
        <v>1.17</v>
      </c>
      <c r="S39">
        <v>1.67</v>
      </c>
      <c r="T39">
        <v>2.59</v>
      </c>
      <c r="U39">
        <v>1.31</v>
      </c>
      <c r="W39">
        <v>1.33</v>
      </c>
      <c r="X39">
        <v>1.86</v>
      </c>
      <c r="Y39">
        <v>2.5</v>
      </c>
      <c r="Z39">
        <v>1.85</v>
      </c>
      <c r="AB39">
        <v>1.18</v>
      </c>
      <c r="AC39">
        <v>1.48</v>
      </c>
      <c r="AD39">
        <v>2.34</v>
      </c>
      <c r="AE39">
        <v>1.65</v>
      </c>
    </row>
    <row r="40" spans="2:32" x14ac:dyDescent="0.3">
      <c r="B40" t="s">
        <v>216</v>
      </c>
      <c r="K40">
        <v>-3100</v>
      </c>
      <c r="L40">
        <v>-363800</v>
      </c>
      <c r="P40">
        <v>400</v>
      </c>
      <c r="Q40">
        <v>40700</v>
      </c>
      <c r="U40">
        <v>-600</v>
      </c>
      <c r="V40">
        <v>-64900</v>
      </c>
      <c r="Z40">
        <v>500</v>
      </c>
      <c r="AA40">
        <v>57600</v>
      </c>
      <c r="AE40">
        <v>-8600</v>
      </c>
      <c r="AF40">
        <v>-979000</v>
      </c>
    </row>
    <row r="41" spans="2:32" x14ac:dyDescent="0.3">
      <c r="B41" t="s">
        <v>217</v>
      </c>
      <c r="H41">
        <v>0.73</v>
      </c>
      <c r="I41">
        <v>0.8</v>
      </c>
      <c r="J41">
        <v>0.84</v>
      </c>
      <c r="K41">
        <v>0.87</v>
      </c>
      <c r="M41">
        <v>0.66</v>
      </c>
      <c r="N41">
        <v>0.77</v>
      </c>
      <c r="O41">
        <v>0.84</v>
      </c>
      <c r="P41">
        <v>0.68</v>
      </c>
      <c r="R41">
        <v>0.71</v>
      </c>
      <c r="S41">
        <v>0.79</v>
      </c>
      <c r="T41">
        <v>0.87</v>
      </c>
      <c r="U41">
        <v>0.7</v>
      </c>
      <c r="W41">
        <v>0.77</v>
      </c>
      <c r="X41">
        <v>0.81</v>
      </c>
      <c r="Y41">
        <v>0.89</v>
      </c>
      <c r="Z41">
        <v>0.84</v>
      </c>
      <c r="AB41">
        <v>0.77</v>
      </c>
      <c r="AC41">
        <v>0.79</v>
      </c>
      <c r="AD41">
        <v>0.88</v>
      </c>
      <c r="AE41">
        <v>0.89</v>
      </c>
    </row>
    <row r="42" spans="2:32" x14ac:dyDescent="0.3">
      <c r="B42" t="s">
        <v>218</v>
      </c>
      <c r="H42">
        <v>0</v>
      </c>
      <c r="I42">
        <v>0</v>
      </c>
      <c r="J42">
        <v>1.57</v>
      </c>
      <c r="K42">
        <v>8.1</v>
      </c>
      <c r="M42">
        <v>0</v>
      </c>
      <c r="N42">
        <v>0</v>
      </c>
      <c r="O42">
        <v>10.41</v>
      </c>
      <c r="P42">
        <v>9.32</v>
      </c>
      <c r="R42">
        <v>0</v>
      </c>
      <c r="S42">
        <v>0</v>
      </c>
      <c r="T42">
        <v>20.18</v>
      </c>
      <c r="U42">
        <v>15.76</v>
      </c>
      <c r="W42">
        <v>0</v>
      </c>
      <c r="X42">
        <v>0</v>
      </c>
      <c r="Y42">
        <v>36.590000000000003</v>
      </c>
      <c r="Z42">
        <v>10.65</v>
      </c>
      <c r="AB42">
        <v>0</v>
      </c>
      <c r="AC42">
        <v>0</v>
      </c>
      <c r="AD42">
        <v>46.87</v>
      </c>
      <c r="AE42">
        <v>18.21</v>
      </c>
    </row>
    <row r="43" spans="2:32" x14ac:dyDescent="0.3">
      <c r="B43" t="s">
        <v>219</v>
      </c>
      <c r="H43">
        <v>59.32</v>
      </c>
      <c r="I43">
        <v>97.56</v>
      </c>
      <c r="J43">
        <v>100</v>
      </c>
      <c r="K43">
        <v>88.85</v>
      </c>
      <c r="M43">
        <v>56.34</v>
      </c>
      <c r="N43">
        <v>100</v>
      </c>
      <c r="O43">
        <v>100</v>
      </c>
      <c r="P43">
        <v>89.41</v>
      </c>
      <c r="R43">
        <v>39.9</v>
      </c>
      <c r="S43">
        <v>100</v>
      </c>
      <c r="T43">
        <v>100</v>
      </c>
      <c r="U43">
        <v>82.4</v>
      </c>
      <c r="W43">
        <v>43.35</v>
      </c>
      <c r="X43">
        <v>100</v>
      </c>
      <c r="Y43">
        <v>100</v>
      </c>
      <c r="Z43">
        <v>87.46</v>
      </c>
      <c r="AB43">
        <v>29.47</v>
      </c>
      <c r="AC43">
        <v>100</v>
      </c>
      <c r="AD43">
        <v>100</v>
      </c>
      <c r="AE43">
        <v>79.16</v>
      </c>
    </row>
    <row r="44" spans="2:32" x14ac:dyDescent="0.3">
      <c r="B44" t="s">
        <v>220</v>
      </c>
      <c r="H44">
        <v>0</v>
      </c>
      <c r="I44">
        <v>0</v>
      </c>
      <c r="J44">
        <v>3.4</v>
      </c>
      <c r="K44">
        <v>3.05</v>
      </c>
      <c r="M44">
        <v>0</v>
      </c>
      <c r="N44">
        <v>0</v>
      </c>
      <c r="O44">
        <v>0</v>
      </c>
      <c r="P44">
        <v>1.26</v>
      </c>
      <c r="R44">
        <v>0</v>
      </c>
      <c r="S44">
        <v>0</v>
      </c>
      <c r="T44">
        <v>0</v>
      </c>
      <c r="U44">
        <v>1.84</v>
      </c>
      <c r="W44">
        <v>0</v>
      </c>
      <c r="X44">
        <v>0</v>
      </c>
      <c r="Y44">
        <v>0</v>
      </c>
      <c r="Z44">
        <v>1.89</v>
      </c>
      <c r="AB44">
        <v>0</v>
      </c>
      <c r="AC44">
        <v>0</v>
      </c>
      <c r="AD44">
        <v>0</v>
      </c>
      <c r="AE44">
        <v>2.62</v>
      </c>
    </row>
    <row r="45" spans="2:32" x14ac:dyDescent="0.3">
      <c r="B45" t="s">
        <v>221</v>
      </c>
      <c r="L45">
        <v>3</v>
      </c>
      <c r="Q45">
        <v>4</v>
      </c>
      <c r="V45">
        <v>5</v>
      </c>
      <c r="AA45">
        <v>7</v>
      </c>
      <c r="AF45">
        <v>0</v>
      </c>
    </row>
    <row r="46" spans="2:32" x14ac:dyDescent="0.3">
      <c r="B46" t="s">
        <v>222</v>
      </c>
      <c r="K46">
        <v>36100</v>
      </c>
      <c r="L46">
        <v>4586000</v>
      </c>
      <c r="P46">
        <v>31400</v>
      </c>
      <c r="Q46">
        <v>3888000</v>
      </c>
      <c r="U46">
        <v>31300</v>
      </c>
      <c r="V46">
        <v>3945000</v>
      </c>
      <c r="Z46">
        <v>32700</v>
      </c>
      <c r="AA46">
        <v>4245000</v>
      </c>
      <c r="AE46">
        <v>69900</v>
      </c>
      <c r="AF46">
        <v>8315000</v>
      </c>
    </row>
    <row r="47" spans="2:32" x14ac:dyDescent="0.3">
      <c r="B47" t="s">
        <v>223</v>
      </c>
      <c r="K47">
        <v>22700</v>
      </c>
      <c r="L47">
        <v>2883000</v>
      </c>
      <c r="P47">
        <v>19300</v>
      </c>
      <c r="Q47">
        <v>2388000</v>
      </c>
      <c r="U47">
        <v>22600</v>
      </c>
      <c r="V47">
        <v>2842000</v>
      </c>
      <c r="Z47">
        <v>39400</v>
      </c>
      <c r="AA47">
        <v>5128000</v>
      </c>
      <c r="AE47">
        <v>42900</v>
      </c>
      <c r="AF47">
        <v>5101000</v>
      </c>
    </row>
    <row r="48" spans="2:32" x14ac:dyDescent="0.3">
      <c r="B48" t="s">
        <v>224</v>
      </c>
      <c r="H48">
        <v>-3.64</v>
      </c>
      <c r="I48">
        <v>0.12</v>
      </c>
      <c r="J48">
        <v>4.8499999999999996</v>
      </c>
      <c r="K48">
        <v>-0.92</v>
      </c>
      <c r="M48">
        <v>-6.16</v>
      </c>
      <c r="N48">
        <v>0</v>
      </c>
      <c r="O48">
        <v>3.2</v>
      </c>
      <c r="P48">
        <v>-2.8</v>
      </c>
      <c r="R48">
        <v>-9.32</v>
      </c>
      <c r="S48">
        <v>-1.24</v>
      </c>
      <c r="T48">
        <v>4.91</v>
      </c>
      <c r="U48">
        <v>-5.2</v>
      </c>
      <c r="W48">
        <v>-7.02</v>
      </c>
      <c r="X48">
        <v>-0.36</v>
      </c>
      <c r="Y48">
        <v>0.81</v>
      </c>
      <c r="Z48">
        <v>-3.63</v>
      </c>
      <c r="AB48">
        <v>-6</v>
      </c>
      <c r="AC48">
        <v>0.01</v>
      </c>
      <c r="AD48">
        <v>1.93</v>
      </c>
      <c r="AE48">
        <v>-4.25</v>
      </c>
    </row>
    <row r="49" spans="2:32" x14ac:dyDescent="0.3">
      <c r="B49" t="s">
        <v>73</v>
      </c>
      <c r="K49">
        <v>958900</v>
      </c>
      <c r="L49">
        <v>121778000</v>
      </c>
      <c r="P49">
        <v>1010000</v>
      </c>
      <c r="Q49">
        <v>125214000</v>
      </c>
      <c r="U49">
        <v>1007000</v>
      </c>
      <c r="V49">
        <v>126926000</v>
      </c>
      <c r="Z49">
        <v>880500</v>
      </c>
      <c r="AA49">
        <v>114470000</v>
      </c>
      <c r="AE49">
        <v>820200</v>
      </c>
      <c r="AF49">
        <v>97601000</v>
      </c>
    </row>
    <row r="50" spans="2:32" x14ac:dyDescent="0.3">
      <c r="B50" t="s">
        <v>225</v>
      </c>
      <c r="K50">
        <v>569400</v>
      </c>
      <c r="L50">
        <v>72310000</v>
      </c>
      <c r="P50">
        <v>293500</v>
      </c>
      <c r="Q50">
        <v>36389000</v>
      </c>
      <c r="U50">
        <v>264300</v>
      </c>
      <c r="V50">
        <v>33304000</v>
      </c>
      <c r="Z50">
        <v>218800</v>
      </c>
      <c r="AA50">
        <v>28446000</v>
      </c>
      <c r="AE50">
        <v>289100</v>
      </c>
      <c r="AF50">
        <v>34408000</v>
      </c>
    </row>
    <row r="51" spans="2:32" x14ac:dyDescent="0.3">
      <c r="B51" t="s">
        <v>226</v>
      </c>
      <c r="H51">
        <v>0</v>
      </c>
      <c r="I51">
        <v>14.16</v>
      </c>
      <c r="J51">
        <v>55.44</v>
      </c>
      <c r="K51">
        <v>59.38</v>
      </c>
      <c r="M51">
        <v>0</v>
      </c>
      <c r="N51">
        <v>8.35</v>
      </c>
      <c r="O51">
        <v>58.15</v>
      </c>
      <c r="P51">
        <v>29.06</v>
      </c>
      <c r="R51">
        <v>0</v>
      </c>
      <c r="S51">
        <v>5.43</v>
      </c>
      <c r="T51">
        <v>43.9</v>
      </c>
      <c r="U51">
        <v>26.24</v>
      </c>
      <c r="W51">
        <v>0</v>
      </c>
      <c r="X51">
        <v>0</v>
      </c>
      <c r="Y51">
        <v>31.38</v>
      </c>
      <c r="Z51">
        <v>24.85</v>
      </c>
      <c r="AB51">
        <v>0</v>
      </c>
      <c r="AC51">
        <v>0</v>
      </c>
      <c r="AD51">
        <v>50.19</v>
      </c>
      <c r="AE51">
        <v>35.25</v>
      </c>
    </row>
    <row r="52" spans="2:32" x14ac:dyDescent="0.3">
      <c r="B52" t="s">
        <v>227</v>
      </c>
      <c r="H52">
        <v>0</v>
      </c>
      <c r="I52">
        <v>20.95</v>
      </c>
      <c r="J52">
        <v>44.54</v>
      </c>
      <c r="K52">
        <v>36.119999999999997</v>
      </c>
      <c r="M52">
        <v>0</v>
      </c>
      <c r="N52">
        <v>22.46</v>
      </c>
      <c r="O52">
        <v>54.59</v>
      </c>
      <c r="P52">
        <v>37.549999999999997</v>
      </c>
      <c r="R52">
        <v>0</v>
      </c>
      <c r="S52">
        <v>21.16</v>
      </c>
      <c r="T52">
        <v>52.91</v>
      </c>
      <c r="U52">
        <v>37.42</v>
      </c>
      <c r="W52">
        <v>0</v>
      </c>
      <c r="X52">
        <v>11.39</v>
      </c>
      <c r="Y52">
        <v>44.83</v>
      </c>
      <c r="Z52">
        <v>30.89</v>
      </c>
      <c r="AB52">
        <v>0</v>
      </c>
      <c r="AC52">
        <v>14.24</v>
      </c>
      <c r="AD52">
        <v>41.03</v>
      </c>
      <c r="AE52">
        <v>24.64</v>
      </c>
    </row>
    <row r="53" spans="2:32" x14ac:dyDescent="0.3">
      <c r="B53" t="s">
        <v>228</v>
      </c>
      <c r="H53">
        <v>0</v>
      </c>
      <c r="I53">
        <v>41.82</v>
      </c>
      <c r="J53">
        <v>70.06</v>
      </c>
      <c r="K53">
        <v>69.34</v>
      </c>
      <c r="M53">
        <v>0</v>
      </c>
      <c r="N53">
        <v>53.24</v>
      </c>
      <c r="O53">
        <v>74.930000000000007</v>
      </c>
      <c r="P53">
        <v>71.09</v>
      </c>
      <c r="R53">
        <v>0</v>
      </c>
      <c r="S53">
        <v>49.63</v>
      </c>
      <c r="T53">
        <v>76.260000000000005</v>
      </c>
      <c r="U53">
        <v>71.45</v>
      </c>
      <c r="W53">
        <v>0</v>
      </c>
      <c r="X53">
        <v>32.6</v>
      </c>
      <c r="Y53">
        <v>67.150000000000006</v>
      </c>
      <c r="Z53">
        <v>61.49</v>
      </c>
      <c r="AB53">
        <v>0</v>
      </c>
      <c r="AC53">
        <v>38.75</v>
      </c>
      <c r="AD53">
        <v>69.540000000000006</v>
      </c>
      <c r="AE53">
        <v>57.64</v>
      </c>
    </row>
    <row r="54" spans="2:32" x14ac:dyDescent="0.3">
      <c r="B54" t="s">
        <v>229</v>
      </c>
      <c r="K54">
        <v>389500</v>
      </c>
      <c r="L54">
        <v>49468000</v>
      </c>
      <c r="P54">
        <v>716300</v>
      </c>
      <c r="Q54">
        <v>88825000</v>
      </c>
      <c r="U54">
        <v>743000</v>
      </c>
      <c r="V54">
        <v>93622000</v>
      </c>
      <c r="Z54">
        <v>661700</v>
      </c>
      <c r="AA54">
        <v>86025000</v>
      </c>
      <c r="AE54">
        <v>531000</v>
      </c>
      <c r="AF54">
        <v>63193000</v>
      </c>
    </row>
    <row r="55" spans="2:32" x14ac:dyDescent="0.3">
      <c r="B55" t="s">
        <v>230</v>
      </c>
      <c r="K55">
        <v>-73200</v>
      </c>
      <c r="L55">
        <v>-8486000</v>
      </c>
      <c r="P55">
        <v>1600</v>
      </c>
      <c r="Q55">
        <v>179800</v>
      </c>
      <c r="U55">
        <v>-14800</v>
      </c>
      <c r="V55">
        <v>-1718000</v>
      </c>
      <c r="Z55">
        <v>-52800</v>
      </c>
      <c r="AA55">
        <v>-6386000</v>
      </c>
      <c r="AE55">
        <v>-251100</v>
      </c>
      <c r="AF55">
        <v>-28620000</v>
      </c>
    </row>
    <row r="56" spans="2:32" x14ac:dyDescent="0.3">
      <c r="B56" t="s">
        <v>231</v>
      </c>
      <c r="K56">
        <v>-93200</v>
      </c>
      <c r="L56">
        <v>-10811000</v>
      </c>
      <c r="P56">
        <v>-98800</v>
      </c>
      <c r="Q56">
        <v>-11261000</v>
      </c>
      <c r="U56">
        <v>-126700</v>
      </c>
      <c r="V56">
        <v>-14696000</v>
      </c>
      <c r="Z56">
        <v>-185100</v>
      </c>
      <c r="AA56">
        <v>-22397000</v>
      </c>
      <c r="AE56">
        <v>-147100</v>
      </c>
      <c r="AF56">
        <v>-16767000</v>
      </c>
    </row>
    <row r="57" spans="2:32" x14ac:dyDescent="0.3">
      <c r="B57" t="s">
        <v>232</v>
      </c>
      <c r="K57">
        <v>222200</v>
      </c>
      <c r="L57">
        <v>25773000</v>
      </c>
      <c r="P57">
        <v>55000</v>
      </c>
      <c r="Q57">
        <v>6273000</v>
      </c>
      <c r="U57">
        <v>200000</v>
      </c>
      <c r="V57">
        <v>23206000</v>
      </c>
      <c r="Z57">
        <v>387900</v>
      </c>
      <c r="AA57">
        <v>46940000</v>
      </c>
      <c r="AE57">
        <v>403200</v>
      </c>
      <c r="AF57">
        <v>45960000</v>
      </c>
    </row>
    <row r="58" spans="2:32" x14ac:dyDescent="0.3">
      <c r="B58" t="s">
        <v>233</v>
      </c>
      <c r="K58">
        <v>-240400</v>
      </c>
      <c r="L58">
        <v>-27887000</v>
      </c>
      <c r="P58">
        <v>-190300</v>
      </c>
      <c r="Q58">
        <v>-21694000</v>
      </c>
      <c r="U58">
        <v>-200100</v>
      </c>
      <c r="V58">
        <v>-23207000</v>
      </c>
      <c r="Z58">
        <v>-240700</v>
      </c>
      <c r="AA58">
        <v>-29129000</v>
      </c>
      <c r="AE58">
        <v>-316300</v>
      </c>
      <c r="AF58">
        <v>-36057000</v>
      </c>
    </row>
    <row r="59" spans="2:32" x14ac:dyDescent="0.3">
      <c r="B59" t="s">
        <v>234</v>
      </c>
      <c r="K59">
        <v>-3411000</v>
      </c>
      <c r="L59">
        <v>-395627000</v>
      </c>
      <c r="P59">
        <v>-2977000</v>
      </c>
      <c r="Q59">
        <v>-339413000</v>
      </c>
      <c r="U59">
        <v>-2454000</v>
      </c>
      <c r="V59">
        <v>-284661000</v>
      </c>
      <c r="Z59">
        <v>-4503000</v>
      </c>
      <c r="AA59">
        <v>-544850000</v>
      </c>
      <c r="AE59">
        <v>-5604000</v>
      </c>
      <c r="AF59">
        <v>-638901000</v>
      </c>
    </row>
    <row r="60" spans="2:32" x14ac:dyDescent="0.3">
      <c r="B60" t="s">
        <v>235</v>
      </c>
      <c r="K60">
        <v>3873000</v>
      </c>
      <c r="L60">
        <v>449287000</v>
      </c>
      <c r="P60">
        <v>3223000</v>
      </c>
      <c r="Q60">
        <v>367380000</v>
      </c>
      <c r="U60">
        <v>2854000</v>
      </c>
      <c r="V60">
        <v>331074000</v>
      </c>
      <c r="Z60">
        <v>5132000</v>
      </c>
      <c r="AA60">
        <v>620919000</v>
      </c>
      <c r="AE60">
        <v>6324000</v>
      </c>
      <c r="AF60">
        <v>720918000</v>
      </c>
    </row>
    <row r="61" spans="2:32" x14ac:dyDescent="0.3">
      <c r="B61" t="s">
        <v>78</v>
      </c>
      <c r="K61">
        <v>327700</v>
      </c>
      <c r="L61">
        <v>41624000</v>
      </c>
      <c r="P61">
        <v>298800</v>
      </c>
      <c r="Q61">
        <v>37055000</v>
      </c>
      <c r="U61">
        <v>268000</v>
      </c>
      <c r="V61">
        <v>33769000</v>
      </c>
      <c r="Z61">
        <v>315100</v>
      </c>
      <c r="AA61">
        <v>40969000</v>
      </c>
      <c r="AE61">
        <v>310300</v>
      </c>
      <c r="AF61">
        <v>36926000</v>
      </c>
    </row>
    <row r="62" spans="2:32" x14ac:dyDescent="0.3">
      <c r="B62" t="s">
        <v>236</v>
      </c>
      <c r="H62">
        <v>1.83</v>
      </c>
      <c r="I62">
        <v>8.52</v>
      </c>
      <c r="J62">
        <v>19.41</v>
      </c>
      <c r="K62">
        <v>12.35</v>
      </c>
      <c r="M62">
        <v>1.93</v>
      </c>
      <c r="N62">
        <v>6.84</v>
      </c>
      <c r="O62">
        <v>16.91</v>
      </c>
      <c r="P62">
        <v>11.11</v>
      </c>
      <c r="R62">
        <v>1.43</v>
      </c>
      <c r="S62">
        <v>5.34</v>
      </c>
      <c r="T62">
        <v>14.92</v>
      </c>
      <c r="U62">
        <v>9.9600000000000009</v>
      </c>
      <c r="W62">
        <v>1.68</v>
      </c>
      <c r="X62">
        <v>6.1</v>
      </c>
      <c r="Y62">
        <v>15.18</v>
      </c>
      <c r="Z62">
        <v>11.06</v>
      </c>
      <c r="AB62">
        <v>0.93</v>
      </c>
      <c r="AC62">
        <v>5.31</v>
      </c>
      <c r="AD62">
        <v>15.42</v>
      </c>
      <c r="AE62">
        <v>9.32</v>
      </c>
    </row>
    <row r="63" spans="2:32" x14ac:dyDescent="0.3">
      <c r="B63" t="s">
        <v>146</v>
      </c>
      <c r="K63">
        <v>322400</v>
      </c>
      <c r="L63">
        <v>40946000</v>
      </c>
      <c r="P63">
        <v>300200</v>
      </c>
      <c r="Q63">
        <v>37230000</v>
      </c>
      <c r="U63">
        <v>283500</v>
      </c>
      <c r="V63">
        <v>35724000</v>
      </c>
      <c r="Z63">
        <v>358200</v>
      </c>
      <c r="AA63">
        <v>46569000</v>
      </c>
      <c r="AE63">
        <v>465600</v>
      </c>
      <c r="AF63">
        <v>55411000</v>
      </c>
    </row>
    <row r="64" spans="2:32" x14ac:dyDescent="0.3">
      <c r="B64" t="s">
        <v>237</v>
      </c>
      <c r="K64">
        <v>129000</v>
      </c>
      <c r="L64">
        <v>14962000</v>
      </c>
      <c r="P64">
        <v>-43800</v>
      </c>
      <c r="Q64">
        <v>-4988000</v>
      </c>
      <c r="U64">
        <v>73400</v>
      </c>
      <c r="V64">
        <v>8510000</v>
      </c>
      <c r="Z64">
        <v>202800</v>
      </c>
      <c r="AA64">
        <v>24543000</v>
      </c>
      <c r="AE64">
        <v>256100</v>
      </c>
      <c r="AF64">
        <v>29194000</v>
      </c>
    </row>
    <row r="65" spans="2:32" x14ac:dyDescent="0.3">
      <c r="B65" t="s">
        <v>238</v>
      </c>
      <c r="K65">
        <v>200300</v>
      </c>
      <c r="L65">
        <v>25437000</v>
      </c>
      <c r="P65">
        <v>487100</v>
      </c>
      <c r="Q65">
        <v>60401000</v>
      </c>
      <c r="U65">
        <v>485400</v>
      </c>
      <c r="V65">
        <v>61154000</v>
      </c>
      <c r="Z65">
        <v>537300</v>
      </c>
      <c r="AA65">
        <v>69847000</v>
      </c>
      <c r="AE65">
        <v>767700</v>
      </c>
      <c r="AF65">
        <v>91353000</v>
      </c>
    </row>
    <row r="66" spans="2:32" x14ac:dyDescent="0.3">
      <c r="B66" t="s">
        <v>239</v>
      </c>
      <c r="K66">
        <v>3420000</v>
      </c>
      <c r="L66">
        <v>434341000</v>
      </c>
      <c r="P66">
        <v>2912000</v>
      </c>
      <c r="Q66">
        <v>361049000</v>
      </c>
      <c r="U66">
        <v>2443000</v>
      </c>
      <c r="V66">
        <v>307841000</v>
      </c>
      <c r="Z66">
        <v>4432000</v>
      </c>
      <c r="AA66">
        <v>576156000</v>
      </c>
      <c r="AE66">
        <v>5605000</v>
      </c>
      <c r="AF66">
        <v>667018000</v>
      </c>
    </row>
    <row r="67" spans="2:32" x14ac:dyDescent="0.3">
      <c r="B67" t="s">
        <v>145</v>
      </c>
      <c r="K67">
        <v>173000</v>
      </c>
      <c r="L67">
        <v>21972000</v>
      </c>
      <c r="P67">
        <v>182900</v>
      </c>
      <c r="Q67">
        <v>22679000</v>
      </c>
      <c r="U67">
        <v>177700</v>
      </c>
      <c r="V67">
        <v>22388000</v>
      </c>
      <c r="Z67">
        <v>199900</v>
      </c>
      <c r="AA67">
        <v>25992000</v>
      </c>
      <c r="AE67">
        <v>238000</v>
      </c>
      <c r="AF67">
        <v>28323000</v>
      </c>
    </row>
    <row r="68" spans="2:32" x14ac:dyDescent="0.3">
      <c r="B68" t="s">
        <v>240</v>
      </c>
      <c r="H68">
        <v>4.25</v>
      </c>
      <c r="I68">
        <v>8.61</v>
      </c>
      <c r="J68">
        <v>16.920000000000002</v>
      </c>
      <c r="K68">
        <v>4.8600000000000003</v>
      </c>
      <c r="M68">
        <v>4.03</v>
      </c>
      <c r="N68">
        <v>10.65</v>
      </c>
      <c r="O68">
        <v>22.01</v>
      </c>
      <c r="P68">
        <v>6.23</v>
      </c>
      <c r="R68">
        <v>6.13</v>
      </c>
      <c r="S68">
        <v>12.83</v>
      </c>
      <c r="T68">
        <v>22.58</v>
      </c>
      <c r="U68">
        <v>7.2</v>
      </c>
      <c r="W68">
        <v>4.24</v>
      </c>
      <c r="X68">
        <v>8.49</v>
      </c>
      <c r="Y68">
        <v>16.48</v>
      </c>
      <c r="Z68">
        <v>4.3099999999999996</v>
      </c>
      <c r="AB68">
        <v>3.48</v>
      </c>
      <c r="AC68">
        <v>9.07</v>
      </c>
      <c r="AD68">
        <v>15.5</v>
      </c>
      <c r="AE68">
        <v>4.0199999999999996</v>
      </c>
    </row>
    <row r="69" spans="2:32" x14ac:dyDescent="0.3">
      <c r="B69" t="s">
        <v>241</v>
      </c>
      <c r="K69">
        <v>76600</v>
      </c>
      <c r="L69">
        <v>9728000</v>
      </c>
      <c r="P69">
        <v>76200</v>
      </c>
      <c r="Q69">
        <v>9447000</v>
      </c>
      <c r="U69">
        <v>80400</v>
      </c>
      <c r="V69">
        <v>10136000</v>
      </c>
      <c r="Z69">
        <v>93000</v>
      </c>
      <c r="AA69">
        <v>12087000</v>
      </c>
      <c r="AE69">
        <v>112200</v>
      </c>
      <c r="AF69">
        <v>13350000</v>
      </c>
    </row>
    <row r="70" spans="2:32" x14ac:dyDescent="0.3">
      <c r="B70" t="s">
        <v>242</v>
      </c>
      <c r="H70">
        <v>1.06</v>
      </c>
      <c r="I70">
        <v>2.4900000000000002</v>
      </c>
      <c r="J70">
        <v>5.17</v>
      </c>
      <c r="K70">
        <v>2.15</v>
      </c>
      <c r="M70">
        <v>1.1100000000000001</v>
      </c>
      <c r="N70">
        <v>2.4</v>
      </c>
      <c r="O70">
        <v>5.8</v>
      </c>
      <c r="P70">
        <v>2.6</v>
      </c>
      <c r="R70">
        <v>1.54</v>
      </c>
      <c r="S70">
        <v>3.76</v>
      </c>
      <c r="T70">
        <v>7.16</v>
      </c>
      <c r="U70">
        <v>3.26</v>
      </c>
      <c r="W70">
        <v>0.84</v>
      </c>
      <c r="X70">
        <v>2.2200000000000002</v>
      </c>
      <c r="Y70">
        <v>4.76</v>
      </c>
      <c r="Z70">
        <v>2.0099999999999998</v>
      </c>
      <c r="AB70">
        <v>0.98</v>
      </c>
      <c r="AC70">
        <v>2.31</v>
      </c>
      <c r="AD70">
        <v>4.8</v>
      </c>
      <c r="AE70">
        <v>1.9</v>
      </c>
    </row>
    <row r="71" spans="2:32" x14ac:dyDescent="0.3">
      <c r="B71" t="s">
        <v>243</v>
      </c>
      <c r="K71">
        <v>28500</v>
      </c>
      <c r="L71">
        <v>3623000</v>
      </c>
      <c r="P71">
        <v>25900</v>
      </c>
      <c r="Q71">
        <v>3206000</v>
      </c>
      <c r="U71">
        <v>22100</v>
      </c>
      <c r="V71">
        <v>2782000</v>
      </c>
      <c r="Z71">
        <v>21500</v>
      </c>
      <c r="AA71">
        <v>2791000</v>
      </c>
      <c r="AE71">
        <v>21100</v>
      </c>
      <c r="AF71">
        <v>2511000</v>
      </c>
    </row>
    <row r="72" spans="2:32" x14ac:dyDescent="0.3">
      <c r="B72" t="s">
        <v>244</v>
      </c>
      <c r="H72">
        <v>0.06</v>
      </c>
      <c r="I72">
        <v>0.43</v>
      </c>
      <c r="J72">
        <v>1.1399999999999999</v>
      </c>
      <c r="K72">
        <v>0.8</v>
      </c>
      <c r="M72">
        <v>0</v>
      </c>
      <c r="N72">
        <v>0.35</v>
      </c>
      <c r="O72">
        <v>0.95</v>
      </c>
      <c r="P72">
        <v>0.88</v>
      </c>
      <c r="R72">
        <v>0.02</v>
      </c>
      <c r="S72">
        <v>0.32</v>
      </c>
      <c r="T72">
        <v>0.96</v>
      </c>
      <c r="U72">
        <v>0.89</v>
      </c>
      <c r="W72">
        <v>0</v>
      </c>
      <c r="X72">
        <v>0.16</v>
      </c>
      <c r="Y72">
        <v>0.55000000000000004</v>
      </c>
      <c r="Z72">
        <v>0.46</v>
      </c>
      <c r="AB72">
        <v>0</v>
      </c>
      <c r="AC72">
        <v>0.13</v>
      </c>
      <c r="AD72">
        <v>0.55000000000000004</v>
      </c>
      <c r="AE72">
        <v>0.36</v>
      </c>
    </row>
    <row r="73" spans="2:32" x14ac:dyDescent="0.3">
      <c r="B73" t="s">
        <v>245</v>
      </c>
      <c r="K73">
        <v>3000</v>
      </c>
      <c r="L73">
        <v>376000</v>
      </c>
      <c r="P73">
        <v>-300</v>
      </c>
      <c r="Q73">
        <v>-33700</v>
      </c>
      <c r="U73">
        <v>800</v>
      </c>
      <c r="V73">
        <v>95800</v>
      </c>
      <c r="Z73">
        <v>7600</v>
      </c>
      <c r="AA73">
        <v>984100</v>
      </c>
      <c r="AE73">
        <v>8900</v>
      </c>
      <c r="AF73">
        <v>1062000</v>
      </c>
    </row>
    <row r="74" spans="2:32" x14ac:dyDescent="0.3">
      <c r="B74" t="s">
        <v>246</v>
      </c>
      <c r="K74">
        <v>63500</v>
      </c>
      <c r="L74">
        <v>8070000</v>
      </c>
      <c r="P74">
        <v>-8500</v>
      </c>
      <c r="Q74">
        <v>-1059000</v>
      </c>
      <c r="U74">
        <v>-26800</v>
      </c>
      <c r="V74">
        <v>-3376000</v>
      </c>
      <c r="Z74">
        <v>-3800</v>
      </c>
      <c r="AA74">
        <v>-500000</v>
      </c>
      <c r="AE74">
        <v>-6200</v>
      </c>
      <c r="AF74">
        <v>-734100</v>
      </c>
    </row>
    <row r="75" spans="2:32" x14ac:dyDescent="0.3">
      <c r="B75" t="s">
        <v>247</v>
      </c>
      <c r="K75">
        <v>2900</v>
      </c>
      <c r="L75">
        <v>373000</v>
      </c>
      <c r="P75">
        <v>-400</v>
      </c>
      <c r="Q75">
        <v>-49400</v>
      </c>
      <c r="U75">
        <v>500</v>
      </c>
      <c r="V75">
        <v>63000</v>
      </c>
      <c r="Z75">
        <v>0</v>
      </c>
      <c r="AA75">
        <v>1300</v>
      </c>
      <c r="AE75">
        <v>8800</v>
      </c>
      <c r="AF75">
        <v>1050000</v>
      </c>
    </row>
    <row r="76" spans="2:32" x14ac:dyDescent="0.3">
      <c r="B76" t="s">
        <v>248</v>
      </c>
      <c r="K76">
        <v>0</v>
      </c>
      <c r="L76">
        <v>0</v>
      </c>
      <c r="P76">
        <v>0</v>
      </c>
      <c r="Q76">
        <v>0</v>
      </c>
      <c r="U76">
        <v>0</v>
      </c>
      <c r="V76">
        <v>0</v>
      </c>
      <c r="Z76">
        <v>0</v>
      </c>
      <c r="AA76">
        <v>0</v>
      </c>
      <c r="AE76">
        <v>0</v>
      </c>
      <c r="AF76">
        <v>0</v>
      </c>
    </row>
    <row r="77" spans="2:32" x14ac:dyDescent="0.3">
      <c r="B77" t="s">
        <v>154</v>
      </c>
      <c r="K77">
        <v>21300</v>
      </c>
      <c r="L77">
        <v>2708000</v>
      </c>
      <c r="P77">
        <v>10300</v>
      </c>
      <c r="Q77">
        <v>1273000</v>
      </c>
      <c r="U77">
        <v>11000</v>
      </c>
      <c r="V77">
        <v>1388000</v>
      </c>
      <c r="Z77">
        <v>38900</v>
      </c>
      <c r="AA77">
        <v>5063000</v>
      </c>
      <c r="AE77">
        <v>40000</v>
      </c>
      <c r="AF77">
        <v>4757000</v>
      </c>
    </row>
    <row r="78" spans="2:32" x14ac:dyDescent="0.3">
      <c r="B78" t="s">
        <v>249</v>
      </c>
      <c r="H78">
        <v>0.15</v>
      </c>
      <c r="I78">
        <v>0.55000000000000004</v>
      </c>
      <c r="J78">
        <v>1.46</v>
      </c>
      <c r="K78">
        <v>0.6</v>
      </c>
      <c r="M78">
        <v>0.08</v>
      </c>
      <c r="N78">
        <v>0.36</v>
      </c>
      <c r="O78">
        <v>1</v>
      </c>
      <c r="P78">
        <v>0.35</v>
      </c>
      <c r="R78">
        <v>0.12</v>
      </c>
      <c r="S78">
        <v>0.33</v>
      </c>
      <c r="T78">
        <v>1.28</v>
      </c>
      <c r="U78">
        <v>0.45</v>
      </c>
      <c r="W78">
        <v>0.23</v>
      </c>
      <c r="X78">
        <v>0.91</v>
      </c>
      <c r="Y78">
        <v>2.33</v>
      </c>
      <c r="Z78">
        <v>0.84</v>
      </c>
      <c r="AB78">
        <v>0.16</v>
      </c>
      <c r="AC78">
        <v>0.67</v>
      </c>
      <c r="AD78">
        <v>2.06</v>
      </c>
      <c r="AE78">
        <v>0.68</v>
      </c>
    </row>
    <row r="79" spans="2:32" x14ac:dyDescent="0.3">
      <c r="B79" t="s">
        <v>250</v>
      </c>
      <c r="K79">
        <v>38900</v>
      </c>
      <c r="L79">
        <v>4938000</v>
      </c>
      <c r="P79">
        <v>29600</v>
      </c>
      <c r="Q79">
        <v>3668000</v>
      </c>
      <c r="U79">
        <v>46900</v>
      </c>
      <c r="V79">
        <v>5908000</v>
      </c>
      <c r="Z79">
        <v>21600</v>
      </c>
      <c r="AA79">
        <v>2809000</v>
      </c>
      <c r="AE79">
        <v>62100</v>
      </c>
      <c r="AF79">
        <v>7393000</v>
      </c>
    </row>
    <row r="80" spans="2:32" x14ac:dyDescent="0.3">
      <c r="B80" t="s">
        <v>44</v>
      </c>
      <c r="K80">
        <v>470900</v>
      </c>
      <c r="L80">
        <v>59804000</v>
      </c>
      <c r="P80">
        <v>514100</v>
      </c>
      <c r="Q80">
        <v>63749000</v>
      </c>
      <c r="U80">
        <v>394400</v>
      </c>
      <c r="V80">
        <v>49696000</v>
      </c>
      <c r="Z80">
        <v>330700</v>
      </c>
      <c r="AA80">
        <v>42994000</v>
      </c>
      <c r="AE80">
        <v>434900</v>
      </c>
      <c r="AF80">
        <v>51748000</v>
      </c>
    </row>
    <row r="81" spans="2:32" x14ac:dyDescent="0.3">
      <c r="B81" t="s">
        <v>251</v>
      </c>
      <c r="H81">
        <v>0.83</v>
      </c>
      <c r="I81">
        <v>8.98</v>
      </c>
      <c r="J81">
        <v>25.22</v>
      </c>
      <c r="K81">
        <v>17.739999999999998</v>
      </c>
      <c r="M81">
        <v>0</v>
      </c>
      <c r="N81">
        <v>6.57</v>
      </c>
      <c r="O81">
        <v>26.63</v>
      </c>
      <c r="P81">
        <v>19.12</v>
      </c>
      <c r="R81">
        <v>0</v>
      </c>
      <c r="S81">
        <v>8.51</v>
      </c>
      <c r="T81">
        <v>22.86</v>
      </c>
      <c r="U81">
        <v>14.65</v>
      </c>
      <c r="W81">
        <v>0.01</v>
      </c>
      <c r="X81">
        <v>5.72</v>
      </c>
      <c r="Y81">
        <v>15.77</v>
      </c>
      <c r="Z81">
        <v>11.6</v>
      </c>
      <c r="AB81">
        <v>0.63</v>
      </c>
      <c r="AC81">
        <v>8.51</v>
      </c>
      <c r="AD81">
        <v>16.510000000000002</v>
      </c>
      <c r="AE81">
        <v>13.06</v>
      </c>
    </row>
    <row r="82" spans="2:32" x14ac:dyDescent="0.3">
      <c r="B82" t="s">
        <v>42</v>
      </c>
      <c r="K82">
        <v>117400</v>
      </c>
      <c r="L82">
        <v>14905000</v>
      </c>
      <c r="P82">
        <v>113200</v>
      </c>
      <c r="Q82">
        <v>14038000</v>
      </c>
      <c r="U82">
        <v>118200</v>
      </c>
      <c r="V82">
        <v>14893000</v>
      </c>
      <c r="Z82">
        <v>96000</v>
      </c>
      <c r="AA82">
        <v>12485000</v>
      </c>
      <c r="AE82">
        <v>147600</v>
      </c>
      <c r="AF82">
        <v>17559000</v>
      </c>
    </row>
    <row r="83" spans="2:32" x14ac:dyDescent="0.3">
      <c r="B83" t="s">
        <v>252</v>
      </c>
      <c r="H83">
        <v>0</v>
      </c>
      <c r="I83">
        <v>0.01</v>
      </c>
      <c r="J83">
        <v>0.22</v>
      </c>
      <c r="K83">
        <v>4.42</v>
      </c>
      <c r="M83">
        <v>0</v>
      </c>
      <c r="N83">
        <v>0.04</v>
      </c>
      <c r="O83">
        <v>0.31</v>
      </c>
      <c r="P83">
        <v>4.21</v>
      </c>
      <c r="R83">
        <v>0</v>
      </c>
      <c r="S83">
        <v>7.0000000000000007E-2</v>
      </c>
      <c r="T83">
        <v>0.39</v>
      </c>
      <c r="U83">
        <v>4.3899999999999997</v>
      </c>
      <c r="W83">
        <v>0</v>
      </c>
      <c r="X83">
        <v>0.05</v>
      </c>
      <c r="Y83">
        <v>0.35</v>
      </c>
      <c r="Z83">
        <v>3.37</v>
      </c>
      <c r="AB83">
        <v>0</v>
      </c>
      <c r="AC83">
        <v>0.09</v>
      </c>
      <c r="AD83">
        <v>0.54</v>
      </c>
      <c r="AE83">
        <v>4.43</v>
      </c>
    </row>
    <row r="84" spans="2:32" x14ac:dyDescent="0.3">
      <c r="B84" t="s">
        <v>253</v>
      </c>
      <c r="K84">
        <v>1326000</v>
      </c>
      <c r="L84">
        <v>168416000</v>
      </c>
      <c r="P84">
        <v>1361000</v>
      </c>
      <c r="Q84">
        <v>168715000</v>
      </c>
      <c r="U84">
        <v>1400000</v>
      </c>
      <c r="V84">
        <v>176442000</v>
      </c>
      <c r="Z84">
        <v>1431000</v>
      </c>
      <c r="AA84">
        <v>186088000</v>
      </c>
      <c r="AE84">
        <v>1611000</v>
      </c>
      <c r="AF84">
        <v>191652000</v>
      </c>
    </row>
    <row r="85" spans="2:32" x14ac:dyDescent="0.3">
      <c r="B85" t="s">
        <v>254</v>
      </c>
      <c r="H85">
        <v>9.0500000000000007</v>
      </c>
      <c r="I85">
        <v>30.35</v>
      </c>
      <c r="J85">
        <v>55.75</v>
      </c>
      <c r="K85">
        <v>49.95</v>
      </c>
      <c r="M85">
        <v>6.33</v>
      </c>
      <c r="N85">
        <v>26.37</v>
      </c>
      <c r="O85">
        <v>57.38</v>
      </c>
      <c r="P85">
        <v>50.6</v>
      </c>
      <c r="R85">
        <v>5.49</v>
      </c>
      <c r="S85">
        <v>28.35</v>
      </c>
      <c r="T85">
        <v>54.72</v>
      </c>
      <c r="U85">
        <v>52.02</v>
      </c>
      <c r="W85">
        <v>5.21</v>
      </c>
      <c r="X85">
        <v>27.17</v>
      </c>
      <c r="Y85">
        <v>52.65</v>
      </c>
      <c r="Z85">
        <v>50.22</v>
      </c>
      <c r="AB85">
        <v>10.58</v>
      </c>
      <c r="AC85">
        <v>29.9</v>
      </c>
      <c r="AD85">
        <v>52.63</v>
      </c>
      <c r="AE85">
        <v>48.38</v>
      </c>
    </row>
    <row r="86" spans="2:32" x14ac:dyDescent="0.3">
      <c r="B86" t="s">
        <v>255</v>
      </c>
      <c r="H86">
        <v>92.94</v>
      </c>
      <c r="I86">
        <v>165.47</v>
      </c>
      <c r="J86">
        <v>405.05</v>
      </c>
      <c r="K86">
        <v>120.48</v>
      </c>
      <c r="M86">
        <v>103.92</v>
      </c>
      <c r="N86">
        <v>196.26</v>
      </c>
      <c r="O86">
        <v>440.35</v>
      </c>
      <c r="P86">
        <v>170.58</v>
      </c>
      <c r="R86">
        <v>120.92</v>
      </c>
      <c r="S86">
        <v>226.32</v>
      </c>
      <c r="T86">
        <v>429.91</v>
      </c>
      <c r="U86">
        <v>174.29</v>
      </c>
      <c r="W86">
        <v>120.68</v>
      </c>
      <c r="X86">
        <v>224.05</v>
      </c>
      <c r="Y86">
        <v>460.16</v>
      </c>
      <c r="Z86">
        <v>171.7</v>
      </c>
      <c r="AB86">
        <v>100</v>
      </c>
      <c r="AC86">
        <v>244.2</v>
      </c>
      <c r="AD86">
        <v>424.18</v>
      </c>
      <c r="AE86">
        <v>200.28</v>
      </c>
    </row>
    <row r="87" spans="2:32" x14ac:dyDescent="0.3">
      <c r="B87" t="s">
        <v>256</v>
      </c>
      <c r="H87">
        <v>51.49</v>
      </c>
      <c r="I87">
        <v>98.94</v>
      </c>
      <c r="J87">
        <v>339.64</v>
      </c>
      <c r="K87">
        <v>72.33</v>
      </c>
      <c r="M87">
        <v>54.79</v>
      </c>
      <c r="N87">
        <v>120.67</v>
      </c>
      <c r="O87">
        <v>328.49</v>
      </c>
      <c r="P87">
        <v>96.09</v>
      </c>
      <c r="R87">
        <v>67.680000000000007</v>
      </c>
      <c r="S87">
        <v>144.58000000000001</v>
      </c>
      <c r="T87">
        <v>325.67</v>
      </c>
      <c r="U87">
        <v>113.92</v>
      </c>
      <c r="W87">
        <v>80.72</v>
      </c>
      <c r="X87">
        <v>190.15</v>
      </c>
      <c r="Y87">
        <v>378.5</v>
      </c>
      <c r="Z87">
        <v>127.57</v>
      </c>
      <c r="AB87">
        <v>71.33</v>
      </c>
      <c r="AC87">
        <v>172.78</v>
      </c>
      <c r="AD87">
        <v>372.64</v>
      </c>
      <c r="AE87">
        <v>143.47999999999999</v>
      </c>
    </row>
    <row r="88" spans="2:32" x14ac:dyDescent="0.3">
      <c r="B88" t="s">
        <v>257</v>
      </c>
      <c r="H88">
        <v>0.9</v>
      </c>
      <c r="I88">
        <v>3.42</v>
      </c>
      <c r="J88">
        <v>7.91</v>
      </c>
      <c r="K88">
        <v>5.37</v>
      </c>
      <c r="M88">
        <v>-0.98</v>
      </c>
      <c r="N88">
        <v>2.06</v>
      </c>
      <c r="O88">
        <v>5.16</v>
      </c>
      <c r="P88">
        <v>1.98</v>
      </c>
      <c r="R88">
        <v>0.27</v>
      </c>
      <c r="S88">
        <v>2.39</v>
      </c>
      <c r="T88">
        <v>7.46</v>
      </c>
      <c r="U88">
        <v>2.39</v>
      </c>
      <c r="W88">
        <v>1.84</v>
      </c>
      <c r="X88">
        <v>5.51</v>
      </c>
      <c r="Y88">
        <v>13.44</v>
      </c>
      <c r="Z88">
        <v>5.7</v>
      </c>
      <c r="AB88">
        <v>1.51</v>
      </c>
      <c r="AC88">
        <v>5.0999999999999996</v>
      </c>
      <c r="AD88">
        <v>12.09</v>
      </c>
      <c r="AE88">
        <v>6.25</v>
      </c>
    </row>
    <row r="89" spans="2:32" x14ac:dyDescent="0.3">
      <c r="B89" t="s">
        <v>258</v>
      </c>
      <c r="H89">
        <v>2.41</v>
      </c>
      <c r="I89">
        <v>6.24</v>
      </c>
      <c r="J89">
        <v>11.03</v>
      </c>
      <c r="K89">
        <v>7.52</v>
      </c>
      <c r="M89">
        <v>0.77</v>
      </c>
      <c r="N89">
        <v>4.62</v>
      </c>
      <c r="O89">
        <v>9.76</v>
      </c>
      <c r="P89">
        <v>4.58</v>
      </c>
      <c r="R89">
        <v>1.9</v>
      </c>
      <c r="S89">
        <v>6.66</v>
      </c>
      <c r="T89">
        <v>13.31</v>
      </c>
      <c r="U89">
        <v>5.65</v>
      </c>
      <c r="W89">
        <v>3.16</v>
      </c>
      <c r="X89">
        <v>9.24</v>
      </c>
      <c r="Y89">
        <v>17.52</v>
      </c>
      <c r="Z89">
        <v>7.71</v>
      </c>
      <c r="AB89">
        <v>3.55</v>
      </c>
      <c r="AC89">
        <v>8.4700000000000006</v>
      </c>
      <c r="AD89">
        <v>19.29</v>
      </c>
      <c r="AE89">
        <v>8.15</v>
      </c>
    </row>
    <row r="90" spans="2:32" x14ac:dyDescent="0.3">
      <c r="B90" t="s">
        <v>259</v>
      </c>
      <c r="H90">
        <v>0.27</v>
      </c>
      <c r="I90">
        <v>2.75</v>
      </c>
      <c r="J90">
        <v>6.99</v>
      </c>
      <c r="K90">
        <v>4.5599999999999996</v>
      </c>
      <c r="M90">
        <v>-1.36</v>
      </c>
      <c r="N90">
        <v>1.08</v>
      </c>
      <c r="O90">
        <v>4.3899999999999997</v>
      </c>
      <c r="P90">
        <v>1.1000000000000001</v>
      </c>
      <c r="R90">
        <v>0.01</v>
      </c>
      <c r="S90">
        <v>2.0499999999999998</v>
      </c>
      <c r="T90">
        <v>6.56</v>
      </c>
      <c r="U90">
        <v>1.49</v>
      </c>
      <c r="W90">
        <v>1.65</v>
      </c>
      <c r="X90">
        <v>4.78</v>
      </c>
      <c r="Y90">
        <v>13.37</v>
      </c>
      <c r="Z90">
        <v>5.24</v>
      </c>
      <c r="AB90">
        <v>1.04</v>
      </c>
      <c r="AC90">
        <v>4.53</v>
      </c>
      <c r="AD90">
        <v>11.36</v>
      </c>
      <c r="AE90">
        <v>5.9</v>
      </c>
    </row>
    <row r="91" spans="2:32" x14ac:dyDescent="0.3">
      <c r="B91" t="s">
        <v>260</v>
      </c>
      <c r="K91">
        <v>356600</v>
      </c>
      <c r="L91">
        <v>45287000</v>
      </c>
      <c r="P91">
        <v>243400</v>
      </c>
      <c r="Q91">
        <v>30178000</v>
      </c>
      <c r="U91">
        <v>382600</v>
      </c>
      <c r="V91">
        <v>48206000</v>
      </c>
      <c r="Z91">
        <v>581900</v>
      </c>
      <c r="AA91">
        <v>75653000</v>
      </c>
      <c r="AE91">
        <v>652400</v>
      </c>
      <c r="AF91">
        <v>77640000</v>
      </c>
    </row>
    <row r="92" spans="2:32" x14ac:dyDescent="0.3">
      <c r="B92" t="s">
        <v>261</v>
      </c>
      <c r="H92">
        <v>6.94</v>
      </c>
      <c r="I92">
        <v>16.11</v>
      </c>
      <c r="J92">
        <v>27.56</v>
      </c>
      <c r="K92">
        <v>10.01</v>
      </c>
      <c r="M92">
        <v>5.65</v>
      </c>
      <c r="N92">
        <v>16.41</v>
      </c>
      <c r="O92">
        <v>28.09</v>
      </c>
      <c r="P92">
        <v>8.3000000000000007</v>
      </c>
      <c r="R92">
        <v>10.71</v>
      </c>
      <c r="S92">
        <v>20.27</v>
      </c>
      <c r="T92">
        <v>31.05</v>
      </c>
      <c r="U92">
        <v>15.5</v>
      </c>
      <c r="W92">
        <v>10.19</v>
      </c>
      <c r="X92">
        <v>19.100000000000001</v>
      </c>
      <c r="Y92">
        <v>33.97</v>
      </c>
      <c r="Z92">
        <v>12.55</v>
      </c>
      <c r="AB92">
        <v>8.9700000000000006</v>
      </c>
      <c r="AC92">
        <v>19.16</v>
      </c>
      <c r="AD92">
        <v>31.46</v>
      </c>
      <c r="AE92">
        <v>11.03</v>
      </c>
    </row>
    <row r="93" spans="2:32" x14ac:dyDescent="0.3">
      <c r="B93" t="s">
        <v>328</v>
      </c>
      <c r="H93">
        <v>0.03</v>
      </c>
      <c r="I93">
        <v>2.13</v>
      </c>
      <c r="J93">
        <v>5.62</v>
      </c>
      <c r="K93">
        <v>3.97</v>
      </c>
      <c r="M93">
        <v>-1.48</v>
      </c>
      <c r="N93">
        <v>0.8</v>
      </c>
      <c r="O93">
        <v>3.48</v>
      </c>
      <c r="P93">
        <v>0.75</v>
      </c>
      <c r="R93">
        <v>-0.04</v>
      </c>
      <c r="S93">
        <v>1.63</v>
      </c>
      <c r="T93">
        <v>5.65</v>
      </c>
      <c r="U93">
        <v>1.05</v>
      </c>
      <c r="W93">
        <v>1</v>
      </c>
      <c r="X93">
        <v>3.7</v>
      </c>
      <c r="Y93">
        <v>9.68</v>
      </c>
      <c r="Z93">
        <v>4.4000000000000004</v>
      </c>
      <c r="AB93">
        <v>0.68</v>
      </c>
      <c r="AC93">
        <v>3.73</v>
      </c>
      <c r="AD93">
        <v>9.3000000000000007</v>
      </c>
      <c r="AE93">
        <v>5.22</v>
      </c>
    </row>
    <row r="94" spans="2:32" x14ac:dyDescent="0.3">
      <c r="B94" t="s">
        <v>262</v>
      </c>
      <c r="K94">
        <v>515500</v>
      </c>
      <c r="L94">
        <v>65472000</v>
      </c>
      <c r="P94">
        <v>605700</v>
      </c>
      <c r="Q94">
        <v>75108000</v>
      </c>
      <c r="U94">
        <v>534400</v>
      </c>
      <c r="V94">
        <v>67339000</v>
      </c>
      <c r="Z94">
        <v>491600</v>
      </c>
      <c r="AA94">
        <v>63902000</v>
      </c>
      <c r="AE94">
        <v>708300</v>
      </c>
      <c r="AF94">
        <v>84288000</v>
      </c>
    </row>
    <row r="95" spans="2:32" x14ac:dyDescent="0.3">
      <c r="B95" t="s">
        <v>263</v>
      </c>
      <c r="L95">
        <v>127</v>
      </c>
      <c r="Q95">
        <v>124</v>
      </c>
      <c r="V95">
        <v>126</v>
      </c>
      <c r="AA95">
        <v>130</v>
      </c>
      <c r="AF95">
        <v>119</v>
      </c>
    </row>
    <row r="96" spans="2:32" x14ac:dyDescent="0.3">
      <c r="B96" t="s">
        <v>264</v>
      </c>
      <c r="K96">
        <v>9</v>
      </c>
      <c r="L96">
        <v>1142</v>
      </c>
      <c r="P96">
        <v>9</v>
      </c>
      <c r="Q96">
        <v>1113</v>
      </c>
      <c r="U96">
        <v>9</v>
      </c>
      <c r="V96">
        <v>1112</v>
      </c>
      <c r="Z96">
        <v>9</v>
      </c>
      <c r="AA96">
        <v>1168</v>
      </c>
      <c r="AE96">
        <v>10</v>
      </c>
      <c r="AF96">
        <v>1207</v>
      </c>
    </row>
    <row r="97" spans="2:32" x14ac:dyDescent="0.3">
      <c r="B97" t="s">
        <v>265</v>
      </c>
      <c r="H97">
        <v>-0.65</v>
      </c>
      <c r="I97">
        <v>0.34</v>
      </c>
      <c r="J97">
        <v>1.1200000000000001</v>
      </c>
      <c r="K97">
        <v>-2.36</v>
      </c>
      <c r="M97">
        <v>-1.36</v>
      </c>
      <c r="N97">
        <v>0.18</v>
      </c>
      <c r="O97">
        <v>0.9</v>
      </c>
      <c r="P97">
        <v>-2.52</v>
      </c>
      <c r="R97">
        <v>-0.73</v>
      </c>
      <c r="S97">
        <v>0.14000000000000001</v>
      </c>
      <c r="T97">
        <v>1.18</v>
      </c>
      <c r="U97">
        <v>2.65</v>
      </c>
      <c r="W97">
        <v>-0.55000000000000004</v>
      </c>
      <c r="X97">
        <v>0.12</v>
      </c>
      <c r="Y97">
        <v>0.53</v>
      </c>
      <c r="Z97">
        <v>0.53</v>
      </c>
      <c r="AB97">
        <v>-0.71</v>
      </c>
      <c r="AC97">
        <v>0.13</v>
      </c>
      <c r="AD97">
        <v>0.51</v>
      </c>
      <c r="AE97">
        <v>-1.1399999999999999</v>
      </c>
    </row>
    <row r="98" spans="2:32" x14ac:dyDescent="0.3">
      <c r="B98" t="s">
        <v>266</v>
      </c>
      <c r="K98">
        <v>96400</v>
      </c>
      <c r="L98">
        <v>12238000</v>
      </c>
      <c r="P98">
        <v>19200</v>
      </c>
      <c r="Q98">
        <v>2378000</v>
      </c>
      <c r="U98">
        <v>10900</v>
      </c>
      <c r="V98">
        <v>1370000</v>
      </c>
      <c r="Z98">
        <v>32900</v>
      </c>
      <c r="AA98">
        <v>4277000</v>
      </c>
      <c r="AE98">
        <v>42500</v>
      </c>
      <c r="AF98">
        <v>5057000</v>
      </c>
    </row>
    <row r="99" spans="2:32" x14ac:dyDescent="0.3">
      <c r="B99" t="s">
        <v>267</v>
      </c>
      <c r="K99">
        <v>158700</v>
      </c>
      <c r="L99">
        <v>20153000</v>
      </c>
      <c r="P99">
        <v>88200</v>
      </c>
      <c r="Q99">
        <v>10933000</v>
      </c>
      <c r="U99">
        <v>-57900</v>
      </c>
      <c r="V99">
        <v>-7291000</v>
      </c>
      <c r="Z99">
        <v>9000</v>
      </c>
      <c r="AA99">
        <v>1173000</v>
      </c>
      <c r="AE99">
        <v>102300</v>
      </c>
      <c r="AF99">
        <v>12170000</v>
      </c>
    </row>
    <row r="100" spans="2:32" x14ac:dyDescent="0.3">
      <c r="B100" t="s">
        <v>149</v>
      </c>
      <c r="K100">
        <v>1383000</v>
      </c>
      <c r="L100">
        <v>175625000</v>
      </c>
      <c r="P100">
        <v>1420000</v>
      </c>
      <c r="Q100">
        <v>176129000</v>
      </c>
      <c r="U100">
        <v>1410000</v>
      </c>
      <c r="V100">
        <v>177652000</v>
      </c>
      <c r="Z100">
        <v>1432000</v>
      </c>
      <c r="AA100">
        <v>186161000</v>
      </c>
      <c r="AE100">
        <v>1423000</v>
      </c>
      <c r="AF100">
        <v>169332000</v>
      </c>
    </row>
    <row r="101" spans="2:32" x14ac:dyDescent="0.3">
      <c r="B101" t="s">
        <v>77</v>
      </c>
      <c r="K101">
        <v>978100</v>
      </c>
      <c r="L101">
        <v>124218000</v>
      </c>
      <c r="P101">
        <v>690100</v>
      </c>
      <c r="Q101">
        <v>85576000</v>
      </c>
      <c r="U101">
        <v>653300</v>
      </c>
      <c r="V101">
        <v>82316000</v>
      </c>
      <c r="Z101">
        <v>749300</v>
      </c>
      <c r="AA101">
        <v>97413000</v>
      </c>
      <c r="AE101">
        <v>765500</v>
      </c>
      <c r="AF101">
        <v>91097000</v>
      </c>
    </row>
    <row r="102" spans="2:32" x14ac:dyDescent="0.3">
      <c r="B102" t="s">
        <v>71</v>
      </c>
      <c r="K102">
        <v>404800</v>
      </c>
      <c r="L102">
        <v>51407000</v>
      </c>
      <c r="P102">
        <v>730300</v>
      </c>
      <c r="Q102">
        <v>90554000</v>
      </c>
      <c r="U102">
        <v>756600</v>
      </c>
      <c r="V102">
        <v>95336000</v>
      </c>
      <c r="Z102">
        <v>682700</v>
      </c>
      <c r="AA102">
        <v>88748000</v>
      </c>
      <c r="AE102">
        <v>657400</v>
      </c>
      <c r="AF102">
        <v>78235000</v>
      </c>
    </row>
    <row r="103" spans="2:32" x14ac:dyDescent="0.3">
      <c r="B103" t="s">
        <v>268</v>
      </c>
      <c r="K103">
        <v>2500</v>
      </c>
      <c r="L103">
        <v>314900</v>
      </c>
      <c r="P103">
        <v>2500</v>
      </c>
      <c r="Q103">
        <v>314900</v>
      </c>
      <c r="U103">
        <v>2500</v>
      </c>
      <c r="V103">
        <v>314900</v>
      </c>
      <c r="Z103">
        <v>2400</v>
      </c>
      <c r="AA103">
        <v>314900</v>
      </c>
      <c r="AE103">
        <v>2600</v>
      </c>
      <c r="AF103">
        <v>314900</v>
      </c>
    </row>
    <row r="104" spans="2:32" x14ac:dyDescent="0.3">
      <c r="B104" t="s">
        <v>269</v>
      </c>
      <c r="K104">
        <v>20.47</v>
      </c>
      <c r="P104">
        <v>26.61</v>
      </c>
      <c r="U104">
        <v>22.22</v>
      </c>
      <c r="Z104">
        <v>17.690000000000001</v>
      </c>
      <c r="AE104">
        <v>16.809999999999999</v>
      </c>
    </row>
    <row r="105" spans="2:32" x14ac:dyDescent="0.3">
      <c r="B105" t="s">
        <v>270</v>
      </c>
      <c r="K105">
        <v>17.32</v>
      </c>
      <c r="P105">
        <v>15.32</v>
      </c>
      <c r="U105">
        <v>11.11</v>
      </c>
      <c r="Z105">
        <v>12.31</v>
      </c>
      <c r="AE105">
        <v>13.45</v>
      </c>
    </row>
    <row r="106" spans="2:32" x14ac:dyDescent="0.3">
      <c r="B106" t="s">
        <v>271</v>
      </c>
      <c r="K106">
        <v>13.39</v>
      </c>
      <c r="P106">
        <v>17.739999999999998</v>
      </c>
      <c r="U106">
        <v>13.49</v>
      </c>
      <c r="Z106">
        <v>8.4600000000000009</v>
      </c>
      <c r="AE106">
        <v>4.2</v>
      </c>
    </row>
    <row r="107" spans="2:32" x14ac:dyDescent="0.3">
      <c r="B107" t="s">
        <v>272</v>
      </c>
      <c r="K107">
        <v>28.35</v>
      </c>
      <c r="P107">
        <v>33.06</v>
      </c>
      <c r="U107">
        <v>30.16</v>
      </c>
      <c r="Z107">
        <v>22.31</v>
      </c>
      <c r="AE107">
        <v>22.69</v>
      </c>
    </row>
    <row r="108" spans="2:32" x14ac:dyDescent="0.3">
      <c r="B108" t="s">
        <v>273</v>
      </c>
      <c r="H108">
        <v>0</v>
      </c>
      <c r="I108">
        <v>0</v>
      </c>
      <c r="J108">
        <v>0.01</v>
      </c>
      <c r="K108">
        <v>4.32</v>
      </c>
      <c r="M108">
        <v>0</v>
      </c>
      <c r="N108">
        <v>0</v>
      </c>
      <c r="O108">
        <v>0.26</v>
      </c>
      <c r="P108">
        <v>3.84</v>
      </c>
      <c r="R108">
        <v>0</v>
      </c>
      <c r="S108">
        <v>0</v>
      </c>
      <c r="T108">
        <v>0.15</v>
      </c>
      <c r="U108">
        <v>3.11</v>
      </c>
      <c r="W108">
        <v>0</v>
      </c>
      <c r="X108">
        <v>0</v>
      </c>
      <c r="Y108">
        <v>0.33</v>
      </c>
      <c r="Z108">
        <v>2.33</v>
      </c>
      <c r="AB108">
        <v>0</v>
      </c>
      <c r="AC108">
        <v>0</v>
      </c>
      <c r="AD108">
        <v>0.32</v>
      </c>
      <c r="AE108">
        <v>3.18</v>
      </c>
    </row>
    <row r="109" spans="2:32" x14ac:dyDescent="0.3">
      <c r="B109" t="s">
        <v>274</v>
      </c>
      <c r="H109">
        <v>0</v>
      </c>
      <c r="I109">
        <v>0</v>
      </c>
      <c r="J109">
        <v>3</v>
      </c>
      <c r="K109">
        <v>9.98</v>
      </c>
      <c r="M109">
        <v>0</v>
      </c>
      <c r="N109">
        <v>0</v>
      </c>
      <c r="O109">
        <v>6.87</v>
      </c>
      <c r="P109">
        <v>12.15</v>
      </c>
      <c r="R109">
        <v>0</v>
      </c>
      <c r="S109">
        <v>0</v>
      </c>
      <c r="T109">
        <v>4.67</v>
      </c>
      <c r="U109">
        <v>9.44</v>
      </c>
      <c r="W109">
        <v>0</v>
      </c>
      <c r="X109">
        <v>0</v>
      </c>
      <c r="Y109">
        <v>4.43</v>
      </c>
      <c r="Z109">
        <v>9.48</v>
      </c>
      <c r="AB109">
        <v>0</v>
      </c>
      <c r="AC109">
        <v>0</v>
      </c>
      <c r="AD109">
        <v>3.48</v>
      </c>
      <c r="AE109">
        <v>18.899999999999999</v>
      </c>
    </row>
    <row r="110" spans="2:32" x14ac:dyDescent="0.3">
      <c r="B110" t="s">
        <v>275</v>
      </c>
      <c r="H110">
        <v>3</v>
      </c>
      <c r="I110">
        <v>25</v>
      </c>
      <c r="J110">
        <v>67</v>
      </c>
      <c r="K110">
        <v>34</v>
      </c>
      <c r="M110">
        <v>6</v>
      </c>
      <c r="N110">
        <v>27</v>
      </c>
      <c r="O110">
        <v>65</v>
      </c>
      <c r="P110">
        <v>37</v>
      </c>
      <c r="R110">
        <v>6</v>
      </c>
      <c r="S110">
        <v>25</v>
      </c>
      <c r="T110">
        <v>73</v>
      </c>
      <c r="U110">
        <v>40</v>
      </c>
      <c r="W110">
        <v>5</v>
      </c>
      <c r="X110">
        <v>16</v>
      </c>
      <c r="Y110">
        <v>50</v>
      </c>
      <c r="Z110">
        <v>25</v>
      </c>
      <c r="AB110">
        <v>5</v>
      </c>
      <c r="AC110">
        <v>16</v>
      </c>
      <c r="AD110">
        <v>49</v>
      </c>
      <c r="AE110">
        <v>19</v>
      </c>
    </row>
    <row r="111" spans="2:32" x14ac:dyDescent="0.3">
      <c r="B111" t="s">
        <v>276</v>
      </c>
      <c r="H111">
        <v>0</v>
      </c>
      <c r="I111">
        <v>0</v>
      </c>
      <c r="J111">
        <v>43</v>
      </c>
      <c r="K111">
        <v>36</v>
      </c>
      <c r="M111">
        <v>0</v>
      </c>
      <c r="N111">
        <v>0</v>
      </c>
      <c r="O111">
        <v>16</v>
      </c>
      <c r="P111">
        <v>15</v>
      </c>
      <c r="R111">
        <v>0</v>
      </c>
      <c r="S111">
        <v>0</v>
      </c>
      <c r="T111">
        <v>56</v>
      </c>
      <c r="U111">
        <v>39</v>
      </c>
      <c r="W111">
        <v>0</v>
      </c>
      <c r="X111">
        <v>0</v>
      </c>
      <c r="Y111">
        <v>22</v>
      </c>
      <c r="Z111">
        <v>120</v>
      </c>
      <c r="AB111">
        <v>0</v>
      </c>
      <c r="AC111">
        <v>0</v>
      </c>
      <c r="AD111">
        <v>32</v>
      </c>
      <c r="AE111">
        <v>41</v>
      </c>
    </row>
    <row r="112" spans="2:32" x14ac:dyDescent="0.3">
      <c r="B112" t="s">
        <v>158</v>
      </c>
      <c r="H112">
        <v>3</v>
      </c>
      <c r="I112">
        <v>21</v>
      </c>
      <c r="J112">
        <v>49</v>
      </c>
      <c r="K112">
        <v>34</v>
      </c>
      <c r="M112">
        <v>6</v>
      </c>
      <c r="N112">
        <v>28</v>
      </c>
      <c r="O112">
        <v>57</v>
      </c>
      <c r="P112">
        <v>42</v>
      </c>
      <c r="R112">
        <v>5</v>
      </c>
      <c r="S112">
        <v>27</v>
      </c>
      <c r="T112">
        <v>55</v>
      </c>
      <c r="U112">
        <v>50</v>
      </c>
      <c r="W112">
        <v>1</v>
      </c>
      <c r="X112">
        <v>17</v>
      </c>
      <c r="Y112">
        <v>48</v>
      </c>
      <c r="Z112">
        <v>33</v>
      </c>
      <c r="AB112">
        <v>2</v>
      </c>
      <c r="AC112">
        <v>15</v>
      </c>
      <c r="AD112">
        <v>41</v>
      </c>
      <c r="AE112">
        <v>31</v>
      </c>
    </row>
    <row r="113" spans="2:32" x14ac:dyDescent="0.3">
      <c r="B113" t="s">
        <v>277</v>
      </c>
      <c r="H113">
        <v>0</v>
      </c>
      <c r="I113">
        <v>0</v>
      </c>
      <c r="J113">
        <v>2</v>
      </c>
      <c r="K113">
        <v>12</v>
      </c>
      <c r="M113">
        <v>0</v>
      </c>
      <c r="N113">
        <v>0</v>
      </c>
      <c r="O113">
        <v>1</v>
      </c>
      <c r="P113">
        <v>3</v>
      </c>
      <c r="R113">
        <v>0</v>
      </c>
      <c r="S113">
        <v>0</v>
      </c>
      <c r="T113">
        <v>12</v>
      </c>
      <c r="U113">
        <v>6</v>
      </c>
      <c r="W113">
        <v>0</v>
      </c>
      <c r="X113">
        <v>0</v>
      </c>
      <c r="Y113">
        <v>3</v>
      </c>
      <c r="Z113">
        <v>4</v>
      </c>
      <c r="AB113">
        <v>0</v>
      </c>
      <c r="AC113">
        <v>0</v>
      </c>
      <c r="AD113">
        <v>5</v>
      </c>
      <c r="AE113">
        <v>15</v>
      </c>
    </row>
    <row r="114" spans="2:32" x14ac:dyDescent="0.3">
      <c r="B114" t="s">
        <v>278</v>
      </c>
      <c r="H114">
        <v>8</v>
      </c>
      <c r="I114">
        <v>37</v>
      </c>
      <c r="J114">
        <v>112</v>
      </c>
      <c r="K114">
        <v>64</v>
      </c>
      <c r="M114">
        <v>13</v>
      </c>
      <c r="N114">
        <v>50</v>
      </c>
      <c r="O114">
        <v>144</v>
      </c>
      <c r="P114">
        <v>83</v>
      </c>
      <c r="R114">
        <v>17</v>
      </c>
      <c r="S114">
        <v>49</v>
      </c>
      <c r="T114">
        <v>137</v>
      </c>
      <c r="U114">
        <v>79</v>
      </c>
      <c r="W114">
        <v>7</v>
      </c>
      <c r="X114">
        <v>25</v>
      </c>
      <c r="Y114">
        <v>108</v>
      </c>
      <c r="Z114">
        <v>33</v>
      </c>
      <c r="AB114">
        <v>9</v>
      </c>
      <c r="AC114">
        <v>28</v>
      </c>
      <c r="AD114">
        <v>98</v>
      </c>
      <c r="AE114">
        <v>34</v>
      </c>
    </row>
    <row r="115" spans="2:32" x14ac:dyDescent="0.3">
      <c r="B115" t="s">
        <v>279</v>
      </c>
      <c r="H115">
        <v>3.72</v>
      </c>
      <c r="I115">
        <v>6.25</v>
      </c>
      <c r="J115">
        <v>12.92</v>
      </c>
      <c r="K115">
        <v>10.66</v>
      </c>
      <c r="M115">
        <v>4.67</v>
      </c>
      <c r="N115">
        <v>8.68</v>
      </c>
      <c r="O115">
        <v>19.399999999999999</v>
      </c>
      <c r="P115">
        <v>19.25</v>
      </c>
      <c r="R115">
        <v>2.13</v>
      </c>
      <c r="S115">
        <v>5.46</v>
      </c>
      <c r="T115">
        <v>12.41</v>
      </c>
      <c r="U115">
        <v>15.83</v>
      </c>
      <c r="W115">
        <v>0.9</v>
      </c>
      <c r="X115">
        <v>3.55</v>
      </c>
      <c r="Y115">
        <v>11.08</v>
      </c>
      <c r="Z115">
        <v>6.01</v>
      </c>
      <c r="AB115">
        <v>1.1000000000000001</v>
      </c>
      <c r="AC115">
        <v>3.68</v>
      </c>
      <c r="AD115">
        <v>10.039999999999999</v>
      </c>
      <c r="AE115">
        <v>4.38</v>
      </c>
    </row>
    <row r="116" spans="2:32" x14ac:dyDescent="0.3">
      <c r="B116" t="s">
        <v>280</v>
      </c>
      <c r="K116">
        <v>3400000</v>
      </c>
      <c r="L116">
        <v>431780000</v>
      </c>
      <c r="P116">
        <v>2901000</v>
      </c>
      <c r="Q116">
        <v>359771000</v>
      </c>
      <c r="U116">
        <v>2450000</v>
      </c>
      <c r="V116">
        <v>308672000</v>
      </c>
      <c r="Z116">
        <v>4603000</v>
      </c>
      <c r="AA116">
        <v>598444000</v>
      </c>
      <c r="AE116">
        <v>5815000</v>
      </c>
      <c r="AF116">
        <v>692000000</v>
      </c>
    </row>
    <row r="117" spans="2:32" x14ac:dyDescent="0.3">
      <c r="B117" t="s">
        <v>72</v>
      </c>
      <c r="K117">
        <v>800</v>
      </c>
      <c r="L117">
        <v>97000</v>
      </c>
      <c r="P117">
        <v>800</v>
      </c>
      <c r="Q117">
        <v>97800</v>
      </c>
      <c r="U117">
        <v>3400</v>
      </c>
      <c r="V117">
        <v>425400</v>
      </c>
      <c r="Z117">
        <v>5400</v>
      </c>
      <c r="AA117">
        <v>700500</v>
      </c>
      <c r="AE117">
        <v>5500</v>
      </c>
      <c r="AF117">
        <v>650500</v>
      </c>
    </row>
    <row r="118" spans="2:32" x14ac:dyDescent="0.3">
      <c r="B118" t="s">
        <v>12</v>
      </c>
      <c r="K118">
        <v>0</v>
      </c>
      <c r="L118">
        <v>3700</v>
      </c>
      <c r="P118">
        <v>500</v>
      </c>
      <c r="Q118">
        <v>63900</v>
      </c>
      <c r="U118">
        <v>2600</v>
      </c>
      <c r="V118">
        <v>327500</v>
      </c>
      <c r="Z118">
        <v>500</v>
      </c>
      <c r="AA118">
        <v>61400</v>
      </c>
      <c r="AE118">
        <v>0</v>
      </c>
      <c r="AF118">
        <v>5600</v>
      </c>
    </row>
    <row r="119" spans="2:32" x14ac:dyDescent="0.3">
      <c r="B119" t="s">
        <v>281</v>
      </c>
      <c r="K119">
        <v>136300</v>
      </c>
      <c r="L119">
        <v>17310000</v>
      </c>
      <c r="P119">
        <v>142700</v>
      </c>
      <c r="Q119">
        <v>17699000</v>
      </c>
      <c r="U119">
        <v>140100</v>
      </c>
      <c r="V119">
        <v>17650000</v>
      </c>
      <c r="Z119">
        <v>155200</v>
      </c>
      <c r="AA119">
        <v>20180000</v>
      </c>
      <c r="AE119">
        <v>189900</v>
      </c>
      <c r="AF119">
        <v>22594000</v>
      </c>
    </row>
    <row r="120" spans="2:32" x14ac:dyDescent="0.3">
      <c r="B120" t="s">
        <v>282</v>
      </c>
      <c r="H120">
        <v>2.96</v>
      </c>
      <c r="I120">
        <v>13.8</v>
      </c>
      <c r="J120">
        <v>23.03</v>
      </c>
      <c r="K120">
        <v>12</v>
      </c>
      <c r="M120">
        <v>-7.0000000000000007E-2</v>
      </c>
      <c r="N120">
        <v>8.4</v>
      </c>
      <c r="O120">
        <v>19.21</v>
      </c>
      <c r="P120">
        <v>5.89</v>
      </c>
      <c r="R120">
        <v>0</v>
      </c>
      <c r="S120">
        <v>9.18</v>
      </c>
      <c r="T120">
        <v>17.649999999999999</v>
      </c>
      <c r="U120">
        <v>6.09</v>
      </c>
      <c r="W120">
        <v>4.42</v>
      </c>
      <c r="X120">
        <v>19.3</v>
      </c>
      <c r="Y120">
        <v>32.79</v>
      </c>
      <c r="Z120">
        <v>15.55</v>
      </c>
      <c r="AB120">
        <v>8.86</v>
      </c>
      <c r="AC120">
        <v>20.260000000000002</v>
      </c>
      <c r="AD120">
        <v>33.85</v>
      </c>
      <c r="AE120">
        <v>17.68</v>
      </c>
    </row>
    <row r="121" spans="2:32" x14ac:dyDescent="0.3">
      <c r="B121" t="s">
        <v>323</v>
      </c>
      <c r="H121">
        <v>0.56000000000000005</v>
      </c>
      <c r="I121">
        <v>9.5299999999999994</v>
      </c>
      <c r="J121">
        <v>16.09</v>
      </c>
      <c r="K121">
        <v>10.08</v>
      </c>
      <c r="M121">
        <v>-0.06</v>
      </c>
      <c r="N121">
        <v>5.29</v>
      </c>
      <c r="O121">
        <v>12.92</v>
      </c>
      <c r="P121">
        <v>4.99</v>
      </c>
      <c r="R121">
        <v>0</v>
      </c>
      <c r="S121">
        <v>5.96</v>
      </c>
      <c r="T121">
        <v>13.02</v>
      </c>
      <c r="U121">
        <v>5.18</v>
      </c>
      <c r="W121">
        <v>0.67</v>
      </c>
      <c r="X121">
        <v>14.49</v>
      </c>
      <c r="Y121">
        <v>24.84</v>
      </c>
      <c r="Z121">
        <v>12.54</v>
      </c>
      <c r="AB121">
        <v>4.99</v>
      </c>
      <c r="AC121">
        <v>13.04</v>
      </c>
      <c r="AD121">
        <v>25.72</v>
      </c>
      <c r="AE121">
        <v>14.48</v>
      </c>
    </row>
    <row r="122" spans="2:32" x14ac:dyDescent="0.3">
      <c r="B122" t="s">
        <v>135</v>
      </c>
      <c r="H122">
        <v>0.35</v>
      </c>
      <c r="I122">
        <v>8.8000000000000007</v>
      </c>
      <c r="J122">
        <v>28.23</v>
      </c>
      <c r="K122">
        <v>11.1</v>
      </c>
      <c r="M122">
        <v>-0.72</v>
      </c>
      <c r="N122">
        <v>3.09</v>
      </c>
      <c r="O122">
        <v>14.25</v>
      </c>
      <c r="P122">
        <v>1.74</v>
      </c>
      <c r="R122">
        <v>-0.96</v>
      </c>
      <c r="S122">
        <v>3.78</v>
      </c>
      <c r="T122">
        <v>12.63</v>
      </c>
      <c r="U122">
        <v>2.02</v>
      </c>
      <c r="W122">
        <v>2.0699999999999998</v>
      </c>
      <c r="X122">
        <v>16.97</v>
      </c>
      <c r="Y122">
        <v>34.450000000000003</v>
      </c>
      <c r="Z122">
        <v>14.39</v>
      </c>
      <c r="AB122">
        <v>1.48</v>
      </c>
      <c r="AC122">
        <v>14.15</v>
      </c>
      <c r="AD122">
        <v>28.69</v>
      </c>
      <c r="AE122">
        <v>16.2</v>
      </c>
    </row>
    <row r="123" spans="2:32" x14ac:dyDescent="0.3">
      <c r="B123" t="s">
        <v>285</v>
      </c>
      <c r="K123">
        <v>3561000</v>
      </c>
      <c r="L123">
        <v>452279000</v>
      </c>
      <c r="P123">
        <v>2934000</v>
      </c>
      <c r="Q123">
        <v>363778000</v>
      </c>
      <c r="U123">
        <v>2469000</v>
      </c>
      <c r="V123">
        <v>311103000</v>
      </c>
      <c r="Z123">
        <v>4636000</v>
      </c>
      <c r="AA123">
        <v>602680000</v>
      </c>
      <c r="AE123">
        <v>5914000</v>
      </c>
      <c r="AF123">
        <v>703761000</v>
      </c>
    </row>
    <row r="124" spans="2:32" x14ac:dyDescent="0.3">
      <c r="B124" t="s">
        <v>286</v>
      </c>
      <c r="K124">
        <v>24700</v>
      </c>
      <c r="L124">
        <v>3143000</v>
      </c>
      <c r="P124">
        <v>4600</v>
      </c>
      <c r="Q124">
        <v>568300</v>
      </c>
      <c r="U124">
        <v>4000</v>
      </c>
      <c r="V124">
        <v>506600</v>
      </c>
      <c r="Z124">
        <v>6900</v>
      </c>
      <c r="AA124">
        <v>893000</v>
      </c>
      <c r="AE124">
        <v>16700</v>
      </c>
      <c r="AF124">
        <v>1991000</v>
      </c>
    </row>
    <row r="125" spans="2:32" x14ac:dyDescent="0.3">
      <c r="B125" t="s">
        <v>287</v>
      </c>
      <c r="H125">
        <v>0.54</v>
      </c>
      <c r="I125">
        <v>1.1100000000000001</v>
      </c>
      <c r="J125">
        <v>2.3199999999999998</v>
      </c>
      <c r="K125">
        <v>0.77</v>
      </c>
      <c r="M125">
        <v>0.44</v>
      </c>
      <c r="N125">
        <v>1.07</v>
      </c>
      <c r="O125">
        <v>1.95</v>
      </c>
      <c r="P125">
        <v>0.56000000000000005</v>
      </c>
      <c r="R125">
        <v>0.39</v>
      </c>
      <c r="S125">
        <v>0.99</v>
      </c>
      <c r="T125">
        <v>2.12</v>
      </c>
      <c r="U125">
        <v>0.68</v>
      </c>
      <c r="W125">
        <v>0.6</v>
      </c>
      <c r="X125">
        <v>1.42</v>
      </c>
      <c r="Y125">
        <v>2.69</v>
      </c>
      <c r="Z125">
        <v>0.96</v>
      </c>
      <c r="AB125">
        <v>0.33</v>
      </c>
      <c r="AC125">
        <v>1.1499999999999999</v>
      </c>
      <c r="AD125">
        <v>2.4900000000000002</v>
      </c>
      <c r="AE125">
        <v>0.78</v>
      </c>
    </row>
    <row r="126" spans="2:32" x14ac:dyDescent="0.3">
      <c r="B126" t="s">
        <v>288</v>
      </c>
      <c r="H126">
        <v>2.14</v>
      </c>
      <c r="I126">
        <v>4.93</v>
      </c>
      <c r="J126">
        <v>9.52</v>
      </c>
      <c r="K126">
        <v>7.98</v>
      </c>
      <c r="M126">
        <v>0.13</v>
      </c>
      <c r="N126">
        <v>3.59</v>
      </c>
      <c r="O126">
        <v>7.67</v>
      </c>
      <c r="P126">
        <v>3.06</v>
      </c>
      <c r="R126">
        <v>1.33</v>
      </c>
      <c r="S126">
        <v>5.31</v>
      </c>
      <c r="T126">
        <v>10.56</v>
      </c>
      <c r="U126">
        <v>3.35</v>
      </c>
      <c r="W126">
        <v>2.74</v>
      </c>
      <c r="X126">
        <v>7.71</v>
      </c>
      <c r="Y126">
        <v>14.34</v>
      </c>
      <c r="Z126">
        <v>6.33</v>
      </c>
      <c r="AB126">
        <v>3.31</v>
      </c>
      <c r="AC126">
        <v>7.36</v>
      </c>
      <c r="AD126">
        <v>14.44</v>
      </c>
      <c r="AE126">
        <v>7.16</v>
      </c>
    </row>
    <row r="127" spans="2:32" x14ac:dyDescent="0.3">
      <c r="B127" t="s">
        <v>289</v>
      </c>
      <c r="H127">
        <v>0.06</v>
      </c>
      <c r="I127">
        <v>0.43</v>
      </c>
      <c r="J127">
        <v>1.1399999999999999</v>
      </c>
      <c r="K127">
        <v>0.8</v>
      </c>
      <c r="M127">
        <v>0</v>
      </c>
      <c r="N127">
        <v>0.37</v>
      </c>
      <c r="O127">
        <v>0.96</v>
      </c>
      <c r="P127">
        <v>0.88</v>
      </c>
      <c r="R127">
        <v>0.02</v>
      </c>
      <c r="S127">
        <v>0.33</v>
      </c>
      <c r="T127">
        <v>0.96</v>
      </c>
      <c r="U127">
        <v>0.89</v>
      </c>
      <c r="W127">
        <v>0</v>
      </c>
      <c r="X127">
        <v>0.16</v>
      </c>
      <c r="Y127">
        <v>0.55000000000000004</v>
      </c>
      <c r="Z127">
        <v>0.46</v>
      </c>
      <c r="AB127">
        <v>0</v>
      </c>
      <c r="AC127">
        <v>0.13</v>
      </c>
      <c r="AD127">
        <v>0.55000000000000004</v>
      </c>
      <c r="AE127">
        <v>0.36</v>
      </c>
    </row>
    <row r="128" spans="2:32" x14ac:dyDescent="0.3">
      <c r="B128" t="s">
        <v>290</v>
      </c>
      <c r="H128">
        <v>67.150000000000006</v>
      </c>
      <c r="I128">
        <v>81.3</v>
      </c>
      <c r="J128">
        <v>88.92</v>
      </c>
      <c r="K128">
        <v>84.84</v>
      </c>
      <c r="M128">
        <v>68.97</v>
      </c>
      <c r="N128">
        <v>81.99</v>
      </c>
      <c r="O128">
        <v>91.06</v>
      </c>
      <c r="P128">
        <v>88.54</v>
      </c>
      <c r="R128">
        <v>62.77</v>
      </c>
      <c r="S128">
        <v>76.97</v>
      </c>
      <c r="T128">
        <v>87.17</v>
      </c>
      <c r="U128">
        <v>86.69</v>
      </c>
      <c r="W128">
        <v>61.31</v>
      </c>
      <c r="X128">
        <v>79.8</v>
      </c>
      <c r="Y128">
        <v>86.54</v>
      </c>
      <c r="Z128">
        <v>87.1</v>
      </c>
      <c r="AB128">
        <v>62.57</v>
      </c>
      <c r="AC128">
        <v>79.41</v>
      </c>
      <c r="AD128">
        <v>88.04</v>
      </c>
      <c r="AE128">
        <v>86.96</v>
      </c>
    </row>
    <row r="129" spans="2:32" x14ac:dyDescent="0.3">
      <c r="B129" t="s">
        <v>291</v>
      </c>
      <c r="H129">
        <v>0.04</v>
      </c>
      <c r="I129">
        <v>0.26</v>
      </c>
      <c r="J129">
        <v>0.92</v>
      </c>
      <c r="K129">
        <v>0.75</v>
      </c>
      <c r="M129">
        <v>0.08</v>
      </c>
      <c r="N129">
        <v>0.24</v>
      </c>
      <c r="O129">
        <v>0.79</v>
      </c>
      <c r="P129">
        <v>0.72</v>
      </c>
      <c r="R129">
        <v>0.03</v>
      </c>
      <c r="S129">
        <v>0.26</v>
      </c>
      <c r="T129">
        <v>0.92</v>
      </c>
      <c r="U129">
        <v>1.19</v>
      </c>
      <c r="W129">
        <v>0.01</v>
      </c>
      <c r="X129">
        <v>0.12</v>
      </c>
      <c r="Y129">
        <v>0.49</v>
      </c>
      <c r="Z129">
        <v>0.82</v>
      </c>
      <c r="AB129">
        <v>0.02</v>
      </c>
      <c r="AC129">
        <v>0.17</v>
      </c>
      <c r="AD129">
        <v>0.73</v>
      </c>
      <c r="AE129">
        <v>0.72</v>
      </c>
    </row>
    <row r="130" spans="2:32" x14ac:dyDescent="0.3">
      <c r="B130" t="s">
        <v>292</v>
      </c>
      <c r="H130">
        <v>4.25</v>
      </c>
      <c r="I130">
        <v>8.61</v>
      </c>
      <c r="J130">
        <v>16.920000000000002</v>
      </c>
      <c r="K130">
        <v>4.8600000000000003</v>
      </c>
      <c r="M130">
        <v>4.1500000000000004</v>
      </c>
      <c r="N130">
        <v>10.69</v>
      </c>
      <c r="O130">
        <v>22.14</v>
      </c>
      <c r="P130">
        <v>6.23</v>
      </c>
      <c r="R130">
        <v>6.3</v>
      </c>
      <c r="S130">
        <v>12.92</v>
      </c>
      <c r="T130">
        <v>22.75</v>
      </c>
      <c r="U130">
        <v>7.2</v>
      </c>
      <c r="W130">
        <v>4.24</v>
      </c>
      <c r="X130">
        <v>8.49</v>
      </c>
      <c r="Y130">
        <v>16.48</v>
      </c>
      <c r="Z130">
        <v>4.3099999999999996</v>
      </c>
      <c r="AB130">
        <v>3.48</v>
      </c>
      <c r="AC130">
        <v>9.07</v>
      </c>
      <c r="AD130">
        <v>15.5</v>
      </c>
      <c r="AE130">
        <v>4.0199999999999996</v>
      </c>
    </row>
    <row r="131" spans="2:32" x14ac:dyDescent="0.3">
      <c r="B131" t="s">
        <v>293</v>
      </c>
      <c r="K131">
        <v>341600</v>
      </c>
      <c r="L131">
        <v>43384000</v>
      </c>
      <c r="P131">
        <v>468600</v>
      </c>
      <c r="Q131">
        <v>58110000</v>
      </c>
      <c r="U131">
        <v>493200</v>
      </c>
      <c r="V131">
        <v>62143000</v>
      </c>
      <c r="Z131">
        <v>472600</v>
      </c>
      <c r="AA131">
        <v>61435000</v>
      </c>
      <c r="AE131">
        <v>784400</v>
      </c>
      <c r="AF131">
        <v>93342000</v>
      </c>
    </row>
    <row r="132" spans="2:32" x14ac:dyDescent="0.3">
      <c r="B132" t="s">
        <v>74</v>
      </c>
      <c r="K132">
        <v>1100</v>
      </c>
      <c r="L132">
        <v>144500</v>
      </c>
      <c r="P132">
        <v>0</v>
      </c>
      <c r="Q132">
        <v>0</v>
      </c>
      <c r="U132">
        <v>0</v>
      </c>
      <c r="V132">
        <v>0</v>
      </c>
      <c r="Z132">
        <v>0</v>
      </c>
      <c r="AA132">
        <v>0</v>
      </c>
      <c r="AE132">
        <v>0</v>
      </c>
      <c r="AF132">
        <v>0</v>
      </c>
    </row>
    <row r="133" spans="2:32" x14ac:dyDescent="0.3">
      <c r="B133" t="s">
        <v>294</v>
      </c>
      <c r="K133">
        <v>191800</v>
      </c>
      <c r="L133">
        <v>24361000</v>
      </c>
      <c r="P133">
        <v>159000</v>
      </c>
      <c r="Q133">
        <v>19719000</v>
      </c>
      <c r="U133">
        <v>178300</v>
      </c>
      <c r="V133">
        <v>22461000</v>
      </c>
      <c r="Z133">
        <v>150200</v>
      </c>
      <c r="AA133">
        <v>19527000</v>
      </c>
      <c r="AE133">
        <v>262800</v>
      </c>
      <c r="AF133">
        <v>31272000</v>
      </c>
    </row>
    <row r="134" spans="2:32" x14ac:dyDescent="0.3">
      <c r="B134" t="s">
        <v>295</v>
      </c>
      <c r="H134">
        <v>2.67</v>
      </c>
      <c r="I134">
        <v>9.49</v>
      </c>
      <c r="J134">
        <v>24.06</v>
      </c>
      <c r="K134">
        <v>8.4700000000000006</v>
      </c>
      <c r="M134">
        <v>2.9</v>
      </c>
      <c r="N134">
        <v>8.86</v>
      </c>
      <c r="O134">
        <v>22.28</v>
      </c>
      <c r="P134">
        <v>7.33</v>
      </c>
      <c r="R134">
        <v>1.99</v>
      </c>
      <c r="S134">
        <v>8.99</v>
      </c>
      <c r="T134">
        <v>26.21</v>
      </c>
      <c r="U134">
        <v>7.91</v>
      </c>
      <c r="W134">
        <v>2.33</v>
      </c>
      <c r="X134">
        <v>7.84</v>
      </c>
      <c r="Y134">
        <v>24.69</v>
      </c>
      <c r="Z134">
        <v>6.53</v>
      </c>
      <c r="AB134">
        <v>2.67</v>
      </c>
      <c r="AC134">
        <v>7.61</v>
      </c>
      <c r="AD134">
        <v>21.81</v>
      </c>
      <c r="AE134">
        <v>9.0299999999999994</v>
      </c>
    </row>
    <row r="135" spans="2:32" x14ac:dyDescent="0.3">
      <c r="B135" t="s">
        <v>296</v>
      </c>
      <c r="K135">
        <v>33000</v>
      </c>
      <c r="L135">
        <v>4188000</v>
      </c>
      <c r="P135">
        <v>38200</v>
      </c>
      <c r="Q135">
        <v>4732000</v>
      </c>
      <c r="U135">
        <v>34600</v>
      </c>
      <c r="V135">
        <v>4356000</v>
      </c>
      <c r="Z135">
        <v>36000</v>
      </c>
      <c r="AA135">
        <v>4682000</v>
      </c>
      <c r="AE135">
        <v>37900</v>
      </c>
      <c r="AF135">
        <v>4510000</v>
      </c>
    </row>
    <row r="136" spans="2:32" x14ac:dyDescent="0.3">
      <c r="B136" t="s">
        <v>297</v>
      </c>
      <c r="K136">
        <v>81000</v>
      </c>
      <c r="L136">
        <v>10284000</v>
      </c>
      <c r="P136">
        <v>97800</v>
      </c>
      <c r="Q136">
        <v>12132000</v>
      </c>
      <c r="U136">
        <v>121000</v>
      </c>
      <c r="V136">
        <v>15243000</v>
      </c>
      <c r="Z136">
        <v>215400</v>
      </c>
      <c r="AA136">
        <v>27998000</v>
      </c>
      <c r="AE136">
        <v>166100</v>
      </c>
      <c r="AF136">
        <v>19763000</v>
      </c>
    </row>
    <row r="137" spans="2:32" x14ac:dyDescent="0.3">
      <c r="B137" t="s">
        <v>298</v>
      </c>
      <c r="H137">
        <v>3.07</v>
      </c>
      <c r="I137">
        <v>5.94</v>
      </c>
      <c r="J137">
        <v>18.37</v>
      </c>
      <c r="K137">
        <v>3.63</v>
      </c>
      <c r="M137">
        <v>2.06</v>
      </c>
      <c r="N137">
        <v>5.32</v>
      </c>
      <c r="O137">
        <v>16.93</v>
      </c>
      <c r="P137">
        <v>4.16</v>
      </c>
      <c r="R137">
        <v>1.81</v>
      </c>
      <c r="S137">
        <v>6.08</v>
      </c>
      <c r="T137">
        <v>17.54</v>
      </c>
      <c r="U137">
        <v>5</v>
      </c>
      <c r="W137">
        <v>2.99</v>
      </c>
      <c r="X137">
        <v>9.56</v>
      </c>
      <c r="Y137">
        <v>19.72</v>
      </c>
      <c r="Z137">
        <v>8.2899999999999991</v>
      </c>
      <c r="AB137">
        <v>3.01</v>
      </c>
      <c r="AC137">
        <v>7.5</v>
      </c>
      <c r="AD137">
        <v>19.100000000000001</v>
      </c>
      <c r="AE137">
        <v>8.7899999999999991</v>
      </c>
    </row>
    <row r="138" spans="2:32" x14ac:dyDescent="0.3">
      <c r="B138" t="s">
        <v>299</v>
      </c>
      <c r="K138">
        <v>15300</v>
      </c>
      <c r="L138">
        <v>1939000</v>
      </c>
      <c r="P138">
        <v>13900</v>
      </c>
      <c r="Q138">
        <v>1728000</v>
      </c>
      <c r="U138">
        <v>13600</v>
      </c>
      <c r="V138">
        <v>1714000</v>
      </c>
      <c r="Z138">
        <v>21000</v>
      </c>
      <c r="AA138">
        <v>2724000</v>
      </c>
      <c r="AE138">
        <v>126400</v>
      </c>
      <c r="AF138">
        <v>15042000</v>
      </c>
    </row>
    <row r="139" spans="2:32" x14ac:dyDescent="0.3">
      <c r="B139" t="s">
        <v>143</v>
      </c>
      <c r="K139">
        <v>267700</v>
      </c>
      <c r="L139">
        <v>33997000</v>
      </c>
      <c r="P139">
        <v>134300</v>
      </c>
      <c r="Q139">
        <v>16656000</v>
      </c>
      <c r="U139">
        <v>139400</v>
      </c>
      <c r="V139">
        <v>17568000</v>
      </c>
      <c r="Z139">
        <v>357400</v>
      </c>
      <c r="AA139">
        <v>46465000</v>
      </c>
      <c r="AE139">
        <v>482000</v>
      </c>
      <c r="AF139">
        <v>57360000</v>
      </c>
    </row>
    <row r="140" spans="2:32" x14ac:dyDescent="0.3">
      <c r="B140" t="s">
        <v>159</v>
      </c>
      <c r="K140">
        <v>191100</v>
      </c>
      <c r="L140">
        <v>24269000</v>
      </c>
      <c r="P140">
        <v>58100</v>
      </c>
      <c r="Q140">
        <v>7209000</v>
      </c>
      <c r="U140">
        <v>59000</v>
      </c>
      <c r="V140">
        <v>7432000</v>
      </c>
      <c r="Z140">
        <v>264400</v>
      </c>
      <c r="AA140">
        <v>34378000</v>
      </c>
      <c r="AE140">
        <v>369800</v>
      </c>
      <c r="AF140">
        <v>44010000</v>
      </c>
    </row>
    <row r="141" spans="2:32" x14ac:dyDescent="0.3">
      <c r="B141" t="s">
        <v>300</v>
      </c>
      <c r="K141">
        <v>162600</v>
      </c>
      <c r="L141">
        <v>20646000</v>
      </c>
      <c r="P141">
        <v>32299.999999999902</v>
      </c>
      <c r="Q141">
        <v>4003000</v>
      </c>
      <c r="U141">
        <v>36900</v>
      </c>
      <c r="V141">
        <v>4650000</v>
      </c>
      <c r="Z141">
        <v>243000</v>
      </c>
      <c r="AA141">
        <v>31587000</v>
      </c>
      <c r="AE141">
        <v>348700</v>
      </c>
      <c r="AF141">
        <v>41499000</v>
      </c>
    </row>
    <row r="142" spans="2:32" x14ac:dyDescent="0.3">
      <c r="B142" t="s">
        <v>301</v>
      </c>
      <c r="K142">
        <v>245900</v>
      </c>
      <c r="L142">
        <v>31230000</v>
      </c>
      <c r="P142">
        <v>129500</v>
      </c>
      <c r="Q142">
        <v>16054000</v>
      </c>
      <c r="U142">
        <v>136200</v>
      </c>
      <c r="V142">
        <v>17157000</v>
      </c>
      <c r="Z142">
        <v>358100</v>
      </c>
      <c r="AA142">
        <v>46557000</v>
      </c>
      <c r="AE142">
        <v>474200</v>
      </c>
      <c r="AF142">
        <v>56431000</v>
      </c>
    </row>
    <row r="143" spans="2:32" x14ac:dyDescent="0.3">
      <c r="B143" t="s">
        <v>147</v>
      </c>
      <c r="K143">
        <v>141200</v>
      </c>
      <c r="L143">
        <v>17938000</v>
      </c>
      <c r="P143">
        <v>22000</v>
      </c>
      <c r="Q143">
        <v>2730000</v>
      </c>
      <c r="U143">
        <v>25900</v>
      </c>
      <c r="V143">
        <v>3262000</v>
      </c>
      <c r="Z143">
        <v>204000</v>
      </c>
      <c r="AA143">
        <v>26524000</v>
      </c>
      <c r="AE143">
        <v>308800</v>
      </c>
      <c r="AF143">
        <v>36743000</v>
      </c>
    </row>
    <row r="144" spans="2:32" x14ac:dyDescent="0.3">
      <c r="B144" t="s">
        <v>302</v>
      </c>
      <c r="H144">
        <v>0.98</v>
      </c>
      <c r="I144">
        <v>2.2999999999999998</v>
      </c>
      <c r="J144">
        <v>4.93</v>
      </c>
      <c r="K144">
        <v>3.58</v>
      </c>
      <c r="M144">
        <v>1.34</v>
      </c>
      <c r="N144">
        <v>3.72</v>
      </c>
      <c r="O144">
        <v>6.59</v>
      </c>
      <c r="P144">
        <v>7.52</v>
      </c>
      <c r="R144">
        <v>2.0499999999999998</v>
      </c>
      <c r="S144">
        <v>3.71</v>
      </c>
      <c r="T144">
        <v>7.05</v>
      </c>
      <c r="U144">
        <v>7.23</v>
      </c>
      <c r="W144">
        <v>0.46</v>
      </c>
      <c r="X144">
        <v>1.43</v>
      </c>
      <c r="Y144">
        <v>4.3899999999999997</v>
      </c>
      <c r="Z144">
        <v>2.46</v>
      </c>
      <c r="AB144">
        <v>0.47</v>
      </c>
      <c r="AC144">
        <v>1.76</v>
      </c>
      <c r="AD144">
        <v>4.24</v>
      </c>
      <c r="AE144">
        <v>1.7</v>
      </c>
    </row>
    <row r="145" spans="2:32" x14ac:dyDescent="0.3">
      <c r="B145" t="s">
        <v>303</v>
      </c>
      <c r="L145">
        <v>8</v>
      </c>
      <c r="Q145">
        <v>8</v>
      </c>
      <c r="V145">
        <v>7</v>
      </c>
      <c r="AA145">
        <v>6</v>
      </c>
      <c r="AF145">
        <v>9</v>
      </c>
    </row>
    <row r="146" spans="2:32" x14ac:dyDescent="0.3">
      <c r="B146" t="s">
        <v>304</v>
      </c>
      <c r="K146">
        <v>105400</v>
      </c>
      <c r="L146">
        <v>13381000</v>
      </c>
      <c r="P146">
        <v>92600</v>
      </c>
      <c r="Q146">
        <v>11484000</v>
      </c>
      <c r="U146">
        <v>88900</v>
      </c>
      <c r="V146">
        <v>11199000</v>
      </c>
      <c r="Z146">
        <v>107200</v>
      </c>
      <c r="AA146">
        <v>13933000</v>
      </c>
      <c r="AE146">
        <v>141700</v>
      </c>
      <c r="AF146">
        <v>16867000</v>
      </c>
    </row>
    <row r="147" spans="2:32" x14ac:dyDescent="0.3">
      <c r="B147" t="s">
        <v>305</v>
      </c>
      <c r="K147">
        <v>-315200</v>
      </c>
      <c r="L147">
        <v>-40035000</v>
      </c>
      <c r="P147">
        <v>-118600</v>
      </c>
      <c r="Q147">
        <v>-14707000</v>
      </c>
      <c r="U147">
        <v>-49100</v>
      </c>
      <c r="V147">
        <v>-6185000</v>
      </c>
      <c r="Z147">
        <v>45700</v>
      </c>
      <c r="AA147">
        <v>5945000</v>
      </c>
      <c r="AE147">
        <v>59400</v>
      </c>
      <c r="AF147">
        <v>7065000</v>
      </c>
    </row>
    <row r="148" spans="2:32" x14ac:dyDescent="0.3">
      <c r="B148" t="s">
        <v>306</v>
      </c>
      <c r="H148">
        <v>0</v>
      </c>
      <c r="I148">
        <v>0</v>
      </c>
      <c r="J148">
        <v>0</v>
      </c>
      <c r="K148">
        <v>0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0</v>
      </c>
      <c r="T148">
        <v>0</v>
      </c>
      <c r="U148">
        <v>0</v>
      </c>
      <c r="W148">
        <v>0</v>
      </c>
      <c r="X148">
        <v>0</v>
      </c>
      <c r="Y148">
        <v>0</v>
      </c>
      <c r="Z148">
        <v>0</v>
      </c>
      <c r="AB148">
        <v>0</v>
      </c>
      <c r="AC148">
        <v>0</v>
      </c>
      <c r="AD148">
        <v>0</v>
      </c>
      <c r="AE148">
        <v>0</v>
      </c>
    </row>
    <row r="149" spans="2:32" x14ac:dyDescent="0.3">
      <c r="B149" t="s">
        <v>307</v>
      </c>
      <c r="H149">
        <v>7.58</v>
      </c>
      <c r="I149">
        <v>16.78</v>
      </c>
      <c r="J149">
        <v>30.1</v>
      </c>
      <c r="K149">
        <v>11.04</v>
      </c>
      <c r="M149">
        <v>8.3699999999999992</v>
      </c>
      <c r="N149">
        <v>17.29</v>
      </c>
      <c r="O149">
        <v>28.15</v>
      </c>
      <c r="P149">
        <v>10.36</v>
      </c>
      <c r="R149">
        <v>10.31</v>
      </c>
      <c r="S149">
        <v>20.48</v>
      </c>
      <c r="T149">
        <v>34.020000000000003</v>
      </c>
      <c r="U149">
        <v>12.47</v>
      </c>
      <c r="W149">
        <v>10.89</v>
      </c>
      <c r="X149">
        <v>19.64</v>
      </c>
      <c r="Y149">
        <v>35.1</v>
      </c>
      <c r="Z149">
        <v>12.21</v>
      </c>
      <c r="AB149">
        <v>11.12</v>
      </c>
      <c r="AC149">
        <v>19.54</v>
      </c>
      <c r="AD149">
        <v>33.46</v>
      </c>
      <c r="AE149">
        <v>11.51</v>
      </c>
    </row>
    <row r="150" spans="2:32" x14ac:dyDescent="0.3">
      <c r="B150" t="s">
        <v>308</v>
      </c>
      <c r="K150">
        <v>375500</v>
      </c>
      <c r="L150">
        <v>47683000</v>
      </c>
      <c r="P150">
        <v>300500</v>
      </c>
      <c r="Q150">
        <v>37260000</v>
      </c>
      <c r="U150">
        <v>305600</v>
      </c>
      <c r="V150">
        <v>38507000</v>
      </c>
      <c r="Z150">
        <v>562000</v>
      </c>
      <c r="AA150">
        <v>73066000</v>
      </c>
      <c r="AE150">
        <v>669300</v>
      </c>
      <c r="AF150">
        <v>79650000</v>
      </c>
    </row>
    <row r="151" spans="2:32" x14ac:dyDescent="0.3">
      <c r="B151" t="s">
        <v>309</v>
      </c>
      <c r="K151">
        <v>55800</v>
      </c>
      <c r="L151">
        <v>6476000</v>
      </c>
      <c r="P151">
        <v>-42200</v>
      </c>
      <c r="Q151">
        <v>-4808000</v>
      </c>
      <c r="U151">
        <v>58600</v>
      </c>
      <c r="V151">
        <v>6792000</v>
      </c>
      <c r="Z151">
        <v>150100</v>
      </c>
      <c r="AA151">
        <v>18158000</v>
      </c>
      <c r="AE151">
        <v>5000</v>
      </c>
      <c r="AF151">
        <v>573500</v>
      </c>
    </row>
    <row r="152" spans="2:32" x14ac:dyDescent="0.3">
      <c r="B152" t="s">
        <v>142</v>
      </c>
      <c r="K152">
        <v>3378000</v>
      </c>
      <c r="L152">
        <v>428984000</v>
      </c>
      <c r="P152">
        <v>2841000</v>
      </c>
      <c r="Q152">
        <v>352278000</v>
      </c>
      <c r="U152">
        <v>2523000</v>
      </c>
      <c r="V152">
        <v>317888000</v>
      </c>
      <c r="Z152">
        <v>4620000</v>
      </c>
      <c r="AA152">
        <v>600615000</v>
      </c>
      <c r="AE152">
        <v>5795000</v>
      </c>
      <c r="AF152">
        <v>689600000</v>
      </c>
    </row>
    <row r="153" spans="2:32" x14ac:dyDescent="0.3">
      <c r="B153" t="s">
        <v>310</v>
      </c>
      <c r="K153">
        <v>337200</v>
      </c>
      <c r="L153">
        <v>42821000</v>
      </c>
      <c r="P153">
        <v>345300</v>
      </c>
      <c r="Q153">
        <v>42818000</v>
      </c>
      <c r="U153">
        <v>238100</v>
      </c>
      <c r="V153">
        <v>29995000</v>
      </c>
      <c r="Z153">
        <v>438000</v>
      </c>
      <c r="AA153">
        <v>56944000</v>
      </c>
      <c r="AE153">
        <v>1095000</v>
      </c>
      <c r="AF153">
        <v>130317000</v>
      </c>
    </row>
    <row r="154" spans="2:32" x14ac:dyDescent="0.3">
      <c r="B154" t="s">
        <v>311</v>
      </c>
      <c r="K154">
        <v>3041000</v>
      </c>
      <c r="L154">
        <v>386163000</v>
      </c>
      <c r="P154">
        <v>2496000</v>
      </c>
      <c r="Q154">
        <v>309460000</v>
      </c>
      <c r="U154">
        <v>2285000</v>
      </c>
      <c r="V154">
        <v>287893000</v>
      </c>
      <c r="Z154">
        <v>4182000</v>
      </c>
      <c r="AA154">
        <v>543671000</v>
      </c>
      <c r="AE154">
        <v>4700000</v>
      </c>
      <c r="AF154">
        <v>559283000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EB858-E08E-4837-86EC-4EE29AC1261F}">
  <sheetPr codeName="Sheet8"/>
  <dimension ref="B2:AF154"/>
  <sheetViews>
    <sheetView topLeftCell="A102" zoomScale="70" zoomScaleNormal="70" workbookViewId="0">
      <selection activeCell="P121" sqref="P121"/>
    </sheetView>
  </sheetViews>
  <sheetFormatPr defaultRowHeight="14.4" x14ac:dyDescent="0.3"/>
  <cols>
    <col min="2" max="2" width="81" customWidth="1"/>
    <col min="3" max="3" width="18.5546875" customWidth="1"/>
    <col min="4" max="5" width="19" customWidth="1"/>
    <col min="6" max="6" width="22.6640625" customWidth="1"/>
    <col min="7" max="7" width="15.109375" customWidth="1"/>
    <col min="8" max="8" width="18.5546875" customWidth="1"/>
    <col min="9" max="10" width="19" customWidth="1"/>
    <col min="11" max="11" width="22.6640625" customWidth="1"/>
    <col min="12" max="12" width="15.109375" customWidth="1"/>
    <col min="13" max="13" width="18.5546875" customWidth="1"/>
    <col min="14" max="15" width="19" customWidth="1"/>
    <col min="16" max="16" width="22.6640625" customWidth="1"/>
    <col min="17" max="17" width="15.109375" customWidth="1"/>
    <col min="18" max="18" width="19" customWidth="1"/>
    <col min="19" max="20" width="19.44140625" customWidth="1"/>
    <col min="21" max="21" width="23" customWidth="1"/>
    <col min="22" max="22" width="15.5546875" customWidth="1"/>
    <col min="23" max="23" width="18.5546875" customWidth="1"/>
    <col min="24" max="25" width="19" customWidth="1"/>
    <col min="26" max="26" width="22.6640625" customWidth="1"/>
    <col min="27" max="27" width="15.109375" customWidth="1"/>
    <col min="28" max="28" width="15.5546875" customWidth="1"/>
    <col min="29" max="29" width="15.44140625" customWidth="1"/>
    <col min="30" max="30" width="15.5546875" customWidth="1"/>
    <col min="31" max="31" width="18.5546875" customWidth="1"/>
    <col min="32" max="32" width="12.21875" customWidth="1"/>
  </cols>
  <sheetData>
    <row r="2" spans="2:32" x14ac:dyDescent="0.3">
      <c r="B2" t="s">
        <v>522</v>
      </c>
      <c r="C2" t="s">
        <v>163</v>
      </c>
      <c r="D2" t="s">
        <v>164</v>
      </c>
      <c r="E2" t="s">
        <v>165</v>
      </c>
      <c r="F2" t="s">
        <v>166</v>
      </c>
      <c r="G2" t="s">
        <v>167</v>
      </c>
      <c r="H2" t="s">
        <v>168</v>
      </c>
      <c r="I2" t="s">
        <v>169</v>
      </c>
      <c r="J2" t="s">
        <v>170</v>
      </c>
      <c r="K2" t="s">
        <v>171</v>
      </c>
      <c r="L2" t="s">
        <v>172</v>
      </c>
      <c r="M2" t="s">
        <v>173</v>
      </c>
      <c r="N2" t="s">
        <v>174</v>
      </c>
      <c r="O2" t="s">
        <v>175</v>
      </c>
      <c r="P2" t="s">
        <v>176</v>
      </c>
      <c r="Q2" t="s">
        <v>177</v>
      </c>
      <c r="R2" t="s">
        <v>178</v>
      </c>
      <c r="S2" t="s">
        <v>179</v>
      </c>
      <c r="T2" t="s">
        <v>180</v>
      </c>
      <c r="U2" t="s">
        <v>181</v>
      </c>
      <c r="V2" t="s">
        <v>182</v>
      </c>
      <c r="W2" t="s">
        <v>183</v>
      </c>
      <c r="X2" t="s">
        <v>184</v>
      </c>
      <c r="Y2" t="s">
        <v>185</v>
      </c>
      <c r="Z2" t="s">
        <v>186</v>
      </c>
      <c r="AA2" t="s">
        <v>187</v>
      </c>
      <c r="AB2" t="s">
        <v>517</v>
      </c>
      <c r="AC2" t="s">
        <v>518</v>
      </c>
      <c r="AD2" t="s">
        <v>519</v>
      </c>
      <c r="AE2" t="s">
        <v>520</v>
      </c>
      <c r="AF2" t="s">
        <v>521</v>
      </c>
    </row>
    <row r="3" spans="2:32" x14ac:dyDescent="0.3">
      <c r="B3" t="s">
        <v>188</v>
      </c>
      <c r="K3">
        <v>3000</v>
      </c>
      <c r="L3">
        <v>277300</v>
      </c>
      <c r="P3">
        <v>3100</v>
      </c>
      <c r="Q3">
        <v>277300</v>
      </c>
      <c r="U3">
        <v>2800</v>
      </c>
      <c r="V3">
        <v>253800</v>
      </c>
      <c r="Z3">
        <v>2800</v>
      </c>
      <c r="AA3">
        <v>255800</v>
      </c>
      <c r="AE3">
        <v>3200</v>
      </c>
      <c r="AF3">
        <v>253800</v>
      </c>
    </row>
    <row r="4" spans="2:32" x14ac:dyDescent="0.3">
      <c r="B4" t="s">
        <v>189</v>
      </c>
      <c r="H4">
        <v>0</v>
      </c>
      <c r="I4">
        <v>29.37</v>
      </c>
      <c r="J4">
        <v>64.13</v>
      </c>
      <c r="K4">
        <v>36.57</v>
      </c>
      <c r="M4">
        <v>0</v>
      </c>
      <c r="N4">
        <v>26.03</v>
      </c>
      <c r="O4">
        <v>70.66</v>
      </c>
      <c r="P4">
        <v>38.1</v>
      </c>
      <c r="R4">
        <v>0</v>
      </c>
      <c r="S4">
        <v>11.28</v>
      </c>
      <c r="T4">
        <v>61.98</v>
      </c>
      <c r="U4">
        <v>32.200000000000003</v>
      </c>
      <c r="W4">
        <v>0</v>
      </c>
      <c r="X4">
        <v>7.37</v>
      </c>
      <c r="Y4">
        <v>57.73</v>
      </c>
      <c r="Z4">
        <v>32.71</v>
      </c>
      <c r="AB4">
        <v>0</v>
      </c>
      <c r="AC4">
        <v>19.11</v>
      </c>
      <c r="AD4">
        <v>58.75</v>
      </c>
      <c r="AE4">
        <v>37.29</v>
      </c>
    </row>
    <row r="5" spans="2:32" x14ac:dyDescent="0.3">
      <c r="B5" t="s">
        <v>190</v>
      </c>
      <c r="K5">
        <v>17900</v>
      </c>
      <c r="L5">
        <v>1644000</v>
      </c>
      <c r="P5">
        <v>21400</v>
      </c>
      <c r="Q5">
        <v>1903000</v>
      </c>
      <c r="U5">
        <v>37600</v>
      </c>
      <c r="V5">
        <v>3426000</v>
      </c>
      <c r="Z5">
        <v>25900</v>
      </c>
      <c r="AA5">
        <v>2355000</v>
      </c>
      <c r="AE5">
        <v>39600</v>
      </c>
      <c r="AF5">
        <v>3166000</v>
      </c>
    </row>
    <row r="6" spans="2:32" x14ac:dyDescent="0.3">
      <c r="B6" t="s">
        <v>148</v>
      </c>
      <c r="K6">
        <v>379500</v>
      </c>
      <c r="L6">
        <v>34914000</v>
      </c>
      <c r="P6">
        <v>443200</v>
      </c>
      <c r="Q6">
        <v>39442000</v>
      </c>
      <c r="U6">
        <v>502300</v>
      </c>
      <c r="V6">
        <v>45708000</v>
      </c>
      <c r="Z6">
        <v>479700</v>
      </c>
      <c r="AA6">
        <v>43649000</v>
      </c>
      <c r="AE6">
        <v>536300</v>
      </c>
      <c r="AF6">
        <v>42904000</v>
      </c>
    </row>
    <row r="7" spans="2:32" x14ac:dyDescent="0.3">
      <c r="B7" t="s">
        <v>43</v>
      </c>
      <c r="K7">
        <v>179600</v>
      </c>
      <c r="L7">
        <v>16522000</v>
      </c>
      <c r="P7">
        <v>238400</v>
      </c>
      <c r="Q7">
        <v>21214000</v>
      </c>
      <c r="U7">
        <v>251900</v>
      </c>
      <c r="V7">
        <v>22919000</v>
      </c>
      <c r="Z7">
        <v>230600</v>
      </c>
      <c r="AA7">
        <v>20981000</v>
      </c>
      <c r="AE7">
        <v>221000</v>
      </c>
      <c r="AF7">
        <v>17683000</v>
      </c>
    </row>
    <row r="8" spans="2:32" x14ac:dyDescent="0.3">
      <c r="B8" t="s">
        <v>31</v>
      </c>
      <c r="K8">
        <v>199900</v>
      </c>
      <c r="L8">
        <v>18392000</v>
      </c>
      <c r="P8">
        <v>204800</v>
      </c>
      <c r="Q8">
        <v>18227000</v>
      </c>
      <c r="U8">
        <v>250400</v>
      </c>
      <c r="V8">
        <v>22790000</v>
      </c>
      <c r="Z8">
        <v>249100</v>
      </c>
      <c r="AA8">
        <v>22669000</v>
      </c>
      <c r="AE8">
        <v>315300</v>
      </c>
      <c r="AF8">
        <v>25222000</v>
      </c>
    </row>
    <row r="9" spans="2:32" x14ac:dyDescent="0.3">
      <c r="B9" t="s">
        <v>191</v>
      </c>
      <c r="K9">
        <v>700</v>
      </c>
      <c r="L9">
        <v>67900</v>
      </c>
      <c r="P9">
        <v>500</v>
      </c>
      <c r="Q9">
        <v>46900</v>
      </c>
      <c r="U9">
        <v>700</v>
      </c>
      <c r="V9">
        <v>65600</v>
      </c>
      <c r="Z9">
        <v>700</v>
      </c>
      <c r="AA9">
        <v>64900</v>
      </c>
      <c r="AE9">
        <v>900</v>
      </c>
      <c r="AF9">
        <v>71000</v>
      </c>
    </row>
    <row r="10" spans="2:32" x14ac:dyDescent="0.3">
      <c r="B10" t="s">
        <v>192</v>
      </c>
      <c r="K10">
        <v>0</v>
      </c>
      <c r="L10">
        <v>0</v>
      </c>
      <c r="P10">
        <v>0</v>
      </c>
      <c r="Q10">
        <v>0</v>
      </c>
      <c r="U10">
        <v>0</v>
      </c>
      <c r="V10">
        <v>0</v>
      </c>
      <c r="Z10">
        <v>0</v>
      </c>
      <c r="AA10">
        <v>0</v>
      </c>
      <c r="AE10">
        <v>0</v>
      </c>
      <c r="AF10">
        <v>0</v>
      </c>
    </row>
    <row r="11" spans="2:32" x14ac:dyDescent="0.3">
      <c r="B11" t="s">
        <v>41</v>
      </c>
      <c r="K11">
        <v>0</v>
      </c>
      <c r="L11">
        <v>1900</v>
      </c>
      <c r="P11">
        <v>0</v>
      </c>
      <c r="Q11">
        <v>0</v>
      </c>
      <c r="U11">
        <v>100</v>
      </c>
      <c r="V11">
        <v>6500</v>
      </c>
      <c r="Z11">
        <v>100</v>
      </c>
      <c r="AA11">
        <v>5200</v>
      </c>
      <c r="AE11">
        <v>1300</v>
      </c>
      <c r="AF11">
        <v>106200</v>
      </c>
    </row>
    <row r="12" spans="2:32" x14ac:dyDescent="0.3">
      <c r="B12" t="s">
        <v>87</v>
      </c>
      <c r="K12">
        <v>31600</v>
      </c>
      <c r="L12">
        <v>2907000</v>
      </c>
      <c r="P12">
        <v>29000</v>
      </c>
      <c r="Q12">
        <v>2581000</v>
      </c>
      <c r="U12">
        <v>12600</v>
      </c>
      <c r="V12">
        <v>1148000</v>
      </c>
      <c r="Z12">
        <v>49800</v>
      </c>
      <c r="AA12">
        <v>4531000</v>
      </c>
      <c r="AE12">
        <v>61600</v>
      </c>
      <c r="AF12">
        <v>4927000</v>
      </c>
    </row>
    <row r="13" spans="2:32" x14ac:dyDescent="0.3">
      <c r="B13" t="s">
        <v>193</v>
      </c>
      <c r="K13">
        <v>39800</v>
      </c>
      <c r="L13">
        <v>3664000</v>
      </c>
      <c r="P13">
        <v>36100</v>
      </c>
      <c r="Q13">
        <v>3210000</v>
      </c>
      <c r="U13">
        <v>18300</v>
      </c>
      <c r="V13">
        <v>1669000</v>
      </c>
      <c r="Z13">
        <v>53300</v>
      </c>
      <c r="AA13">
        <v>4852000</v>
      </c>
      <c r="AE13">
        <v>49100</v>
      </c>
      <c r="AF13">
        <v>3929000</v>
      </c>
    </row>
    <row r="14" spans="2:32" x14ac:dyDescent="0.3">
      <c r="B14" t="s">
        <v>194</v>
      </c>
      <c r="H14">
        <v>12.49</v>
      </c>
      <c r="I14">
        <v>41.56</v>
      </c>
      <c r="J14">
        <v>79.13</v>
      </c>
      <c r="K14">
        <v>48.13</v>
      </c>
      <c r="M14">
        <v>11.99</v>
      </c>
      <c r="N14">
        <v>42.99</v>
      </c>
      <c r="O14">
        <v>74.02</v>
      </c>
      <c r="P14">
        <v>43.44</v>
      </c>
      <c r="R14">
        <v>13.33</v>
      </c>
      <c r="S14">
        <v>49.6</v>
      </c>
      <c r="T14">
        <v>86.04</v>
      </c>
      <c r="U14">
        <v>50.36</v>
      </c>
      <c r="W14">
        <v>13.46</v>
      </c>
      <c r="X14">
        <v>48.62</v>
      </c>
      <c r="Y14">
        <v>81.709999999999994</v>
      </c>
      <c r="Z14">
        <v>48.6</v>
      </c>
      <c r="AB14">
        <v>9.2799999999999994</v>
      </c>
      <c r="AC14">
        <v>43.79</v>
      </c>
      <c r="AD14">
        <v>80.12</v>
      </c>
      <c r="AE14">
        <v>50</v>
      </c>
    </row>
    <row r="15" spans="2:32" x14ac:dyDescent="0.3">
      <c r="B15" t="s">
        <v>53</v>
      </c>
      <c r="K15">
        <v>40900</v>
      </c>
      <c r="L15">
        <v>3767000</v>
      </c>
      <c r="P15">
        <v>75800</v>
      </c>
      <c r="Q15">
        <v>6747000</v>
      </c>
      <c r="U15">
        <v>104400</v>
      </c>
      <c r="V15">
        <v>9504000</v>
      </c>
      <c r="Z15">
        <v>109600</v>
      </c>
      <c r="AA15">
        <v>9972000</v>
      </c>
      <c r="AE15">
        <v>69400</v>
      </c>
      <c r="AF15">
        <v>5554000</v>
      </c>
    </row>
    <row r="16" spans="2:32" x14ac:dyDescent="0.3">
      <c r="B16" t="s">
        <v>195</v>
      </c>
      <c r="H16">
        <v>0.95</v>
      </c>
      <c r="I16">
        <v>9.1199999999999992</v>
      </c>
      <c r="J16">
        <v>26.82</v>
      </c>
      <c r="K16">
        <v>10.79</v>
      </c>
      <c r="M16">
        <v>0.87</v>
      </c>
      <c r="N16">
        <v>7.46</v>
      </c>
      <c r="O16">
        <v>25.73</v>
      </c>
      <c r="P16">
        <v>17.11</v>
      </c>
      <c r="R16">
        <v>1.22</v>
      </c>
      <c r="S16">
        <v>9.1999999999999993</v>
      </c>
      <c r="T16">
        <v>28.07</v>
      </c>
      <c r="U16">
        <v>20.79</v>
      </c>
      <c r="W16">
        <v>2.0299999999999998</v>
      </c>
      <c r="X16">
        <v>12.63</v>
      </c>
      <c r="Y16">
        <v>41.63</v>
      </c>
      <c r="Z16">
        <v>22.85</v>
      </c>
      <c r="AB16">
        <v>1.37</v>
      </c>
      <c r="AC16">
        <v>11.13</v>
      </c>
      <c r="AD16">
        <v>39.32</v>
      </c>
      <c r="AE16">
        <v>12.95</v>
      </c>
    </row>
    <row r="17" spans="2:32" x14ac:dyDescent="0.3">
      <c r="B17" t="s">
        <v>196</v>
      </c>
      <c r="K17">
        <v>37800</v>
      </c>
      <c r="L17">
        <v>3065000</v>
      </c>
      <c r="P17">
        <v>82600</v>
      </c>
      <c r="Q17">
        <v>6523000</v>
      </c>
      <c r="U17">
        <v>111900</v>
      </c>
      <c r="V17">
        <v>9068000</v>
      </c>
      <c r="Z17">
        <v>121400</v>
      </c>
      <c r="AA17">
        <v>9956000</v>
      </c>
      <c r="AE17">
        <v>73700</v>
      </c>
      <c r="AF17">
        <v>5525000</v>
      </c>
    </row>
    <row r="18" spans="2:32" x14ac:dyDescent="0.3">
      <c r="B18" t="s">
        <v>197</v>
      </c>
      <c r="K18">
        <v>34300</v>
      </c>
      <c r="L18">
        <v>2780000</v>
      </c>
      <c r="P18">
        <v>83300</v>
      </c>
      <c r="Q18">
        <v>6583000</v>
      </c>
      <c r="U18">
        <v>84200</v>
      </c>
      <c r="V18">
        <v>6818000</v>
      </c>
      <c r="Z18">
        <v>103800</v>
      </c>
      <c r="AA18">
        <v>8508000</v>
      </c>
      <c r="AE18">
        <v>69100</v>
      </c>
      <c r="AF18">
        <v>5179000</v>
      </c>
    </row>
    <row r="19" spans="2:32" x14ac:dyDescent="0.3">
      <c r="B19" t="s">
        <v>198</v>
      </c>
      <c r="K19">
        <v>182700</v>
      </c>
      <c r="L19">
        <v>16806000</v>
      </c>
      <c r="P19">
        <v>192500</v>
      </c>
      <c r="Q19">
        <v>17134000</v>
      </c>
      <c r="U19">
        <v>253000</v>
      </c>
      <c r="V19">
        <v>23019000</v>
      </c>
      <c r="Z19">
        <v>233100</v>
      </c>
      <c r="AA19">
        <v>21214000</v>
      </c>
      <c r="AE19">
        <v>268200</v>
      </c>
      <c r="AF19">
        <v>21454000</v>
      </c>
    </row>
    <row r="20" spans="2:32" x14ac:dyDescent="0.3">
      <c r="B20" t="s">
        <v>199</v>
      </c>
      <c r="H20">
        <v>12.49</v>
      </c>
      <c r="I20">
        <v>41.56</v>
      </c>
      <c r="J20">
        <v>79.13</v>
      </c>
      <c r="K20">
        <v>48.13</v>
      </c>
      <c r="M20">
        <v>11.99</v>
      </c>
      <c r="N20">
        <v>42.99</v>
      </c>
      <c r="O20">
        <v>74.02</v>
      </c>
      <c r="P20">
        <v>43.44</v>
      </c>
      <c r="R20">
        <v>13.33</v>
      </c>
      <c r="S20">
        <v>49.6</v>
      </c>
      <c r="T20">
        <v>86.04</v>
      </c>
      <c r="U20">
        <v>50.36</v>
      </c>
      <c r="W20">
        <v>13.46</v>
      </c>
      <c r="X20">
        <v>48.62</v>
      </c>
      <c r="Y20">
        <v>81.709999999999994</v>
      </c>
      <c r="Z20">
        <v>48.6</v>
      </c>
      <c r="AB20">
        <v>9.2799999999999994</v>
      </c>
      <c r="AC20">
        <v>43.79</v>
      </c>
      <c r="AD20">
        <v>80.12</v>
      </c>
      <c r="AE20">
        <v>50</v>
      </c>
    </row>
    <row r="21" spans="2:32" x14ac:dyDescent="0.3">
      <c r="B21" t="s">
        <v>200</v>
      </c>
      <c r="K21">
        <v>166800</v>
      </c>
      <c r="L21">
        <v>15346000</v>
      </c>
      <c r="P21">
        <v>177900</v>
      </c>
      <c r="Q21">
        <v>15835000</v>
      </c>
      <c r="U21">
        <v>257300</v>
      </c>
      <c r="V21">
        <v>23415000</v>
      </c>
      <c r="Z21">
        <v>199600</v>
      </c>
      <c r="AA21">
        <v>18160000</v>
      </c>
      <c r="AE21">
        <v>226400</v>
      </c>
      <c r="AF21">
        <v>18110000</v>
      </c>
    </row>
    <row r="22" spans="2:32" x14ac:dyDescent="0.3">
      <c r="B22" t="s">
        <v>201</v>
      </c>
      <c r="K22">
        <v>121700</v>
      </c>
      <c r="L22">
        <v>11201000</v>
      </c>
      <c r="P22">
        <v>130800</v>
      </c>
      <c r="Q22">
        <v>11644000</v>
      </c>
      <c r="U22">
        <v>126400</v>
      </c>
      <c r="V22">
        <v>11503000</v>
      </c>
      <c r="Z22">
        <v>123100</v>
      </c>
      <c r="AA22">
        <v>11202000</v>
      </c>
      <c r="AE22">
        <v>153100</v>
      </c>
      <c r="AF22">
        <v>12251000</v>
      </c>
    </row>
    <row r="23" spans="2:32" x14ac:dyDescent="0.3">
      <c r="B23" t="s">
        <v>45</v>
      </c>
      <c r="K23">
        <v>47500</v>
      </c>
      <c r="L23">
        <v>4367000</v>
      </c>
      <c r="P23">
        <v>71900</v>
      </c>
      <c r="Q23">
        <v>6396000</v>
      </c>
      <c r="U23">
        <v>48200</v>
      </c>
      <c r="V23">
        <v>4386000</v>
      </c>
      <c r="Z23">
        <v>51100</v>
      </c>
      <c r="AA23">
        <v>4654000</v>
      </c>
      <c r="AE23">
        <v>49200</v>
      </c>
      <c r="AF23">
        <v>3938000</v>
      </c>
    </row>
    <row r="24" spans="2:32" x14ac:dyDescent="0.3">
      <c r="B24" t="s">
        <v>202</v>
      </c>
      <c r="H24">
        <v>0</v>
      </c>
      <c r="I24">
        <v>3.34</v>
      </c>
      <c r="J24">
        <v>15.6</v>
      </c>
      <c r="K24">
        <v>12.51</v>
      </c>
      <c r="M24">
        <v>0</v>
      </c>
      <c r="N24">
        <v>5.37</v>
      </c>
      <c r="O24">
        <v>16.41</v>
      </c>
      <c r="P24">
        <v>16.22</v>
      </c>
      <c r="R24">
        <v>0</v>
      </c>
      <c r="S24">
        <v>2.59</v>
      </c>
      <c r="T24">
        <v>14.13</v>
      </c>
      <c r="U24">
        <v>9.6</v>
      </c>
      <c r="W24">
        <v>0</v>
      </c>
      <c r="X24">
        <v>2.2999999999999998</v>
      </c>
      <c r="Y24">
        <v>13.96</v>
      </c>
      <c r="Z24">
        <v>10.66</v>
      </c>
      <c r="AB24">
        <v>0</v>
      </c>
      <c r="AC24">
        <v>1.91</v>
      </c>
      <c r="AD24">
        <v>12.05</v>
      </c>
      <c r="AE24">
        <v>9.18</v>
      </c>
    </row>
    <row r="25" spans="2:32" x14ac:dyDescent="0.3">
      <c r="B25" t="s">
        <v>203</v>
      </c>
      <c r="H25">
        <v>2.1800000000000002</v>
      </c>
      <c r="I25">
        <v>13.07</v>
      </c>
      <c r="J25">
        <v>23.63</v>
      </c>
      <c r="K25">
        <v>13.53</v>
      </c>
      <c r="M25">
        <v>-0.79</v>
      </c>
      <c r="N25">
        <v>8.18</v>
      </c>
      <c r="O25">
        <v>24.4</v>
      </c>
      <c r="P25">
        <v>13.17</v>
      </c>
      <c r="R25">
        <v>3.49</v>
      </c>
      <c r="S25">
        <v>14.69</v>
      </c>
      <c r="T25">
        <v>52.45</v>
      </c>
      <c r="U25">
        <v>7.82</v>
      </c>
      <c r="W25">
        <v>3.6</v>
      </c>
      <c r="X25">
        <v>23.12</v>
      </c>
      <c r="Y25">
        <v>106.41</v>
      </c>
      <c r="Z25">
        <v>33.049999999999997</v>
      </c>
      <c r="AB25">
        <v>6.53</v>
      </c>
      <c r="AC25">
        <v>19.46</v>
      </c>
      <c r="AD25">
        <v>98.01</v>
      </c>
      <c r="AE25">
        <v>27.12</v>
      </c>
    </row>
    <row r="26" spans="2:32" x14ac:dyDescent="0.3">
      <c r="B26" t="s">
        <v>204</v>
      </c>
      <c r="K26">
        <v>362500</v>
      </c>
      <c r="L26">
        <v>33352000</v>
      </c>
      <c r="P26">
        <v>322000</v>
      </c>
      <c r="Q26">
        <v>28659000</v>
      </c>
      <c r="U26">
        <v>324500</v>
      </c>
      <c r="V26">
        <v>29528000</v>
      </c>
      <c r="Z26">
        <v>453300</v>
      </c>
      <c r="AA26">
        <v>41247000</v>
      </c>
      <c r="AE26">
        <v>540100</v>
      </c>
      <c r="AF26">
        <v>43210000</v>
      </c>
    </row>
    <row r="27" spans="2:32" x14ac:dyDescent="0.3">
      <c r="B27" t="s">
        <v>205</v>
      </c>
      <c r="K27">
        <v>7400</v>
      </c>
      <c r="L27">
        <v>685200</v>
      </c>
      <c r="P27">
        <v>5300</v>
      </c>
      <c r="Q27">
        <v>470500</v>
      </c>
      <c r="U27">
        <v>4400</v>
      </c>
      <c r="V27">
        <v>401000</v>
      </c>
      <c r="Z27">
        <v>2600</v>
      </c>
      <c r="AA27">
        <v>240700</v>
      </c>
      <c r="AE27">
        <v>8500</v>
      </c>
      <c r="AF27">
        <v>679200</v>
      </c>
    </row>
    <row r="28" spans="2:32" x14ac:dyDescent="0.3">
      <c r="B28" t="s">
        <v>206</v>
      </c>
      <c r="K28">
        <v>410400</v>
      </c>
      <c r="L28">
        <v>37760000</v>
      </c>
      <c r="P28">
        <v>370700</v>
      </c>
      <c r="Q28">
        <v>32989000</v>
      </c>
      <c r="U28">
        <v>375600</v>
      </c>
      <c r="V28">
        <v>34179000</v>
      </c>
      <c r="Z28">
        <v>515400</v>
      </c>
      <c r="AA28">
        <v>46899000</v>
      </c>
      <c r="AE28">
        <v>600800</v>
      </c>
      <c r="AF28">
        <v>48065000</v>
      </c>
    </row>
    <row r="29" spans="2:32" x14ac:dyDescent="0.3">
      <c r="B29" t="s">
        <v>207</v>
      </c>
      <c r="K29">
        <v>65.52</v>
      </c>
      <c r="P29">
        <v>68.38</v>
      </c>
      <c r="U29">
        <v>67.56</v>
      </c>
      <c r="Z29">
        <v>66.52</v>
      </c>
      <c r="AE29">
        <v>64.89</v>
      </c>
    </row>
    <row r="30" spans="2:32" x14ac:dyDescent="0.3">
      <c r="B30" t="s">
        <v>208</v>
      </c>
      <c r="K30">
        <v>69.430000000000007</v>
      </c>
      <c r="P30">
        <v>65.12</v>
      </c>
      <c r="U30">
        <v>70.89</v>
      </c>
      <c r="Z30">
        <v>72.19</v>
      </c>
      <c r="AE30">
        <v>72.2</v>
      </c>
    </row>
    <row r="31" spans="2:32" x14ac:dyDescent="0.3">
      <c r="B31" t="s">
        <v>209</v>
      </c>
      <c r="K31">
        <v>420000</v>
      </c>
      <c r="L31">
        <v>38644000</v>
      </c>
      <c r="P31">
        <v>372400</v>
      </c>
      <c r="Q31">
        <v>33142000</v>
      </c>
      <c r="U31">
        <v>413100</v>
      </c>
      <c r="V31">
        <v>37589000</v>
      </c>
      <c r="Z31">
        <v>521500</v>
      </c>
      <c r="AA31">
        <v>47460000</v>
      </c>
      <c r="AE31">
        <v>597700</v>
      </c>
      <c r="AF31">
        <v>47819000</v>
      </c>
    </row>
    <row r="32" spans="2:32" x14ac:dyDescent="0.3">
      <c r="B32" t="s">
        <v>144</v>
      </c>
      <c r="K32">
        <v>363900</v>
      </c>
      <c r="L32">
        <v>33480000</v>
      </c>
      <c r="P32">
        <v>317700</v>
      </c>
      <c r="Q32">
        <v>28275000</v>
      </c>
      <c r="U32">
        <v>356000</v>
      </c>
      <c r="V32">
        <v>32393000</v>
      </c>
      <c r="Z32">
        <v>456200</v>
      </c>
      <c r="AA32">
        <v>41515000</v>
      </c>
      <c r="AE32">
        <v>527700</v>
      </c>
      <c r="AF32">
        <v>42216000</v>
      </c>
    </row>
    <row r="33" spans="2:32" x14ac:dyDescent="0.3">
      <c r="B33" t="s">
        <v>210</v>
      </c>
      <c r="H33">
        <v>2.15</v>
      </c>
      <c r="I33">
        <v>3.44</v>
      </c>
      <c r="J33">
        <v>6.59</v>
      </c>
      <c r="K33">
        <v>2.77</v>
      </c>
      <c r="M33">
        <v>1.41</v>
      </c>
      <c r="N33">
        <v>3.03</v>
      </c>
      <c r="O33">
        <v>5</v>
      </c>
      <c r="P33">
        <v>2.29</v>
      </c>
      <c r="R33">
        <v>0.89</v>
      </c>
      <c r="S33">
        <v>2.21</v>
      </c>
      <c r="T33">
        <v>3.35</v>
      </c>
      <c r="U33">
        <v>1.97</v>
      </c>
      <c r="W33">
        <v>0.68</v>
      </c>
      <c r="X33">
        <v>2.25</v>
      </c>
      <c r="Y33">
        <v>4.1900000000000004</v>
      </c>
      <c r="Z33">
        <v>1.59</v>
      </c>
      <c r="AB33">
        <v>1.22</v>
      </c>
      <c r="AC33">
        <v>2.16</v>
      </c>
      <c r="AD33">
        <v>4.18</v>
      </c>
      <c r="AE33">
        <v>1.66</v>
      </c>
    </row>
    <row r="34" spans="2:32" x14ac:dyDescent="0.3">
      <c r="B34" t="s">
        <v>211</v>
      </c>
      <c r="K34">
        <v>1900</v>
      </c>
      <c r="L34">
        <v>177700</v>
      </c>
      <c r="P34">
        <v>1600</v>
      </c>
      <c r="Q34">
        <v>140200</v>
      </c>
      <c r="U34">
        <v>1800</v>
      </c>
      <c r="V34">
        <v>162800</v>
      </c>
      <c r="Z34">
        <v>1800</v>
      </c>
      <c r="AA34">
        <v>163400</v>
      </c>
      <c r="AE34">
        <v>2400</v>
      </c>
      <c r="AF34">
        <v>195400</v>
      </c>
    </row>
    <row r="35" spans="2:32" x14ac:dyDescent="0.3">
      <c r="B35" t="s">
        <v>212</v>
      </c>
      <c r="K35">
        <v>800</v>
      </c>
      <c r="L35">
        <v>72800</v>
      </c>
      <c r="P35">
        <v>300</v>
      </c>
      <c r="Q35">
        <v>28500</v>
      </c>
      <c r="U35">
        <v>0</v>
      </c>
      <c r="V35">
        <v>100</v>
      </c>
      <c r="Z35">
        <v>0</v>
      </c>
      <c r="AA35">
        <v>100</v>
      </c>
      <c r="AE35">
        <v>300</v>
      </c>
      <c r="AF35">
        <v>22800</v>
      </c>
    </row>
    <row r="36" spans="2:32" x14ac:dyDescent="0.3">
      <c r="B36" t="s">
        <v>213</v>
      </c>
      <c r="H36">
        <v>2</v>
      </c>
      <c r="I36">
        <v>30</v>
      </c>
      <c r="J36">
        <v>86</v>
      </c>
      <c r="K36">
        <v>38</v>
      </c>
      <c r="M36">
        <v>6</v>
      </c>
      <c r="N36">
        <v>52</v>
      </c>
      <c r="O36">
        <v>150</v>
      </c>
      <c r="P36">
        <v>37</v>
      </c>
      <c r="R36">
        <v>11</v>
      </c>
      <c r="S36">
        <v>41</v>
      </c>
      <c r="T36">
        <v>96</v>
      </c>
      <c r="U36">
        <v>16</v>
      </c>
      <c r="W36">
        <v>0</v>
      </c>
      <c r="X36">
        <v>21</v>
      </c>
      <c r="Y36">
        <v>90</v>
      </c>
      <c r="Z36">
        <v>6</v>
      </c>
      <c r="AB36">
        <v>2</v>
      </c>
      <c r="AC36">
        <v>22</v>
      </c>
      <c r="AD36">
        <v>82</v>
      </c>
      <c r="AE36">
        <v>33</v>
      </c>
    </row>
    <row r="37" spans="2:32" x14ac:dyDescent="0.3">
      <c r="B37" t="s">
        <v>96</v>
      </c>
      <c r="H37">
        <v>1.88</v>
      </c>
      <c r="I37">
        <v>5.98</v>
      </c>
      <c r="J37">
        <v>11.04</v>
      </c>
      <c r="K37">
        <v>7.98</v>
      </c>
      <c r="M37">
        <v>-7.0000000000000007E-2</v>
      </c>
      <c r="N37">
        <v>4.5</v>
      </c>
      <c r="O37">
        <v>10</v>
      </c>
      <c r="P37">
        <v>7.92</v>
      </c>
      <c r="R37">
        <v>1.75</v>
      </c>
      <c r="S37">
        <v>7.17</v>
      </c>
      <c r="T37">
        <v>14.61</v>
      </c>
      <c r="U37">
        <v>3.85</v>
      </c>
      <c r="W37">
        <v>2.44</v>
      </c>
      <c r="X37">
        <v>7.96</v>
      </c>
      <c r="Y37">
        <v>17.53</v>
      </c>
      <c r="Z37">
        <v>9.4700000000000006</v>
      </c>
      <c r="AB37">
        <v>1.55</v>
      </c>
      <c r="AC37">
        <v>8.1199999999999992</v>
      </c>
      <c r="AD37">
        <v>18.329999999999998</v>
      </c>
      <c r="AE37">
        <v>10.220000000000001</v>
      </c>
    </row>
    <row r="38" spans="2:32" x14ac:dyDescent="0.3">
      <c r="B38" t="s">
        <v>214</v>
      </c>
      <c r="H38">
        <v>4.3099999999999996</v>
      </c>
      <c r="I38">
        <v>8.6199999999999992</v>
      </c>
      <c r="J38">
        <v>16.54</v>
      </c>
      <c r="K38">
        <v>6.36</v>
      </c>
      <c r="M38">
        <v>3.09</v>
      </c>
      <c r="N38">
        <v>7.13</v>
      </c>
      <c r="O38">
        <v>14.9</v>
      </c>
      <c r="P38">
        <v>4.9800000000000004</v>
      </c>
      <c r="R38">
        <v>2.79</v>
      </c>
      <c r="S38">
        <v>5.96</v>
      </c>
      <c r="T38">
        <v>14.04</v>
      </c>
      <c r="U38">
        <v>0.54</v>
      </c>
      <c r="W38">
        <v>6.24</v>
      </c>
      <c r="X38">
        <v>15.49</v>
      </c>
      <c r="Y38">
        <v>29.09</v>
      </c>
      <c r="Z38">
        <v>9.08</v>
      </c>
      <c r="AB38">
        <v>7.2</v>
      </c>
      <c r="AC38">
        <v>14.91</v>
      </c>
      <c r="AD38">
        <v>27.68</v>
      </c>
      <c r="AE38">
        <v>9.59</v>
      </c>
    </row>
    <row r="39" spans="2:32" x14ac:dyDescent="0.3">
      <c r="B39" t="s">
        <v>215</v>
      </c>
      <c r="H39">
        <v>1.1100000000000001</v>
      </c>
      <c r="I39">
        <v>1.57</v>
      </c>
      <c r="J39">
        <v>2.89</v>
      </c>
      <c r="K39">
        <v>1.83</v>
      </c>
      <c r="M39">
        <v>1.1599999999999999</v>
      </c>
      <c r="N39">
        <v>1.58</v>
      </c>
      <c r="O39">
        <v>3.1</v>
      </c>
      <c r="P39">
        <v>2.02</v>
      </c>
      <c r="R39">
        <v>1.17</v>
      </c>
      <c r="S39">
        <v>1.5</v>
      </c>
      <c r="T39">
        <v>2.38</v>
      </c>
      <c r="U39">
        <v>0.24</v>
      </c>
      <c r="W39">
        <v>1.21</v>
      </c>
      <c r="X39">
        <v>1.68</v>
      </c>
      <c r="Y39">
        <v>2.4300000000000002</v>
      </c>
      <c r="Z39">
        <v>1.97</v>
      </c>
      <c r="AB39">
        <v>1.1499999999999999</v>
      </c>
      <c r="AC39">
        <v>1.42</v>
      </c>
      <c r="AD39">
        <v>2.44</v>
      </c>
      <c r="AE39">
        <v>1.9</v>
      </c>
    </row>
    <row r="40" spans="2:32" x14ac:dyDescent="0.3">
      <c r="B40" t="s">
        <v>216</v>
      </c>
      <c r="K40">
        <v>0</v>
      </c>
      <c r="L40">
        <v>0</v>
      </c>
      <c r="P40">
        <v>0</v>
      </c>
      <c r="Q40">
        <v>0</v>
      </c>
      <c r="U40">
        <v>0</v>
      </c>
      <c r="V40">
        <v>0</v>
      </c>
      <c r="Z40">
        <v>0</v>
      </c>
      <c r="AA40">
        <v>0</v>
      </c>
      <c r="AE40">
        <v>0</v>
      </c>
      <c r="AF40">
        <v>0</v>
      </c>
    </row>
    <row r="41" spans="2:32" x14ac:dyDescent="0.3">
      <c r="B41" t="s">
        <v>217</v>
      </c>
      <c r="H41">
        <v>0.75</v>
      </c>
      <c r="I41">
        <v>0.81</v>
      </c>
      <c r="J41">
        <v>0.85</v>
      </c>
      <c r="K41">
        <v>0.75</v>
      </c>
      <c r="M41">
        <v>0.72</v>
      </c>
      <c r="N41">
        <v>0.79</v>
      </c>
      <c r="O41">
        <v>0.9</v>
      </c>
      <c r="P41">
        <v>0.75</v>
      </c>
      <c r="R41">
        <v>0.75</v>
      </c>
      <c r="S41">
        <v>0.81</v>
      </c>
      <c r="T41">
        <v>0.87</v>
      </c>
      <c r="U41">
        <v>-13.26</v>
      </c>
      <c r="W41">
        <v>0.77</v>
      </c>
      <c r="X41">
        <v>0.8</v>
      </c>
      <c r="Y41">
        <v>0.87</v>
      </c>
      <c r="Z41">
        <v>0.8</v>
      </c>
      <c r="AB41">
        <v>0.74</v>
      </c>
      <c r="AC41">
        <v>0.78</v>
      </c>
      <c r="AD41">
        <v>0.83</v>
      </c>
      <c r="AE41">
        <v>0.86</v>
      </c>
    </row>
    <row r="42" spans="2:32" x14ac:dyDescent="0.3">
      <c r="B42" t="s">
        <v>218</v>
      </c>
      <c r="H42">
        <v>0</v>
      </c>
      <c r="I42">
        <v>0</v>
      </c>
      <c r="J42">
        <v>1.57</v>
      </c>
      <c r="K42">
        <v>13.21</v>
      </c>
      <c r="M42">
        <v>0</v>
      </c>
      <c r="N42">
        <v>0</v>
      </c>
      <c r="O42">
        <v>27.53</v>
      </c>
      <c r="P42">
        <v>38.909999999999997</v>
      </c>
      <c r="R42">
        <v>0</v>
      </c>
      <c r="S42">
        <v>0</v>
      </c>
      <c r="T42">
        <v>48.89</v>
      </c>
      <c r="U42">
        <v>29.37</v>
      </c>
      <c r="W42">
        <v>0</v>
      </c>
      <c r="X42">
        <v>0</v>
      </c>
      <c r="Y42">
        <v>91.08</v>
      </c>
      <c r="Z42">
        <v>36.06</v>
      </c>
      <c r="AB42">
        <v>0</v>
      </c>
      <c r="AC42">
        <v>0</v>
      </c>
      <c r="AD42">
        <v>95.45</v>
      </c>
      <c r="AE42">
        <v>43.9</v>
      </c>
    </row>
    <row r="43" spans="2:32" x14ac:dyDescent="0.3">
      <c r="B43" t="s">
        <v>219</v>
      </c>
      <c r="H43">
        <v>39.81</v>
      </c>
      <c r="I43">
        <v>97.94</v>
      </c>
      <c r="J43">
        <v>100</v>
      </c>
      <c r="K43">
        <v>75.3</v>
      </c>
      <c r="M43">
        <v>31.26</v>
      </c>
      <c r="N43">
        <v>100</v>
      </c>
      <c r="O43">
        <v>100</v>
      </c>
      <c r="P43">
        <v>55.57</v>
      </c>
      <c r="R43">
        <v>21.74</v>
      </c>
      <c r="S43">
        <v>100</v>
      </c>
      <c r="T43">
        <v>100</v>
      </c>
      <c r="U43">
        <v>63.98</v>
      </c>
      <c r="W43">
        <v>0</v>
      </c>
      <c r="X43">
        <v>100</v>
      </c>
      <c r="Y43">
        <v>100</v>
      </c>
      <c r="Z43">
        <v>60.61</v>
      </c>
      <c r="AB43">
        <v>2.4700000000000002</v>
      </c>
      <c r="AC43">
        <v>100</v>
      </c>
      <c r="AD43">
        <v>100</v>
      </c>
      <c r="AE43">
        <v>53.47</v>
      </c>
    </row>
    <row r="44" spans="2:32" x14ac:dyDescent="0.3">
      <c r="B44" t="s">
        <v>220</v>
      </c>
      <c r="H44">
        <v>0</v>
      </c>
      <c r="I44">
        <v>0</v>
      </c>
      <c r="J44">
        <v>2.39</v>
      </c>
      <c r="K44">
        <v>11.49</v>
      </c>
      <c r="M44">
        <v>0</v>
      </c>
      <c r="N44">
        <v>0</v>
      </c>
      <c r="O44">
        <v>0</v>
      </c>
      <c r="P44">
        <v>5.52</v>
      </c>
      <c r="R44">
        <v>0</v>
      </c>
      <c r="S44">
        <v>0</v>
      </c>
      <c r="T44">
        <v>0</v>
      </c>
      <c r="U44">
        <v>6.65</v>
      </c>
      <c r="W44">
        <v>0</v>
      </c>
      <c r="X44">
        <v>0</v>
      </c>
      <c r="Y44">
        <v>0</v>
      </c>
      <c r="Z44">
        <v>3.33</v>
      </c>
      <c r="AB44">
        <v>0</v>
      </c>
      <c r="AC44">
        <v>0</v>
      </c>
      <c r="AD44">
        <v>0</v>
      </c>
      <c r="AE44">
        <v>2.63</v>
      </c>
    </row>
    <row r="45" spans="2:32" x14ac:dyDescent="0.3">
      <c r="B45" t="s">
        <v>221</v>
      </c>
      <c r="L45">
        <v>3</v>
      </c>
      <c r="Q45">
        <v>4</v>
      </c>
      <c r="V45">
        <v>5</v>
      </c>
      <c r="AA45">
        <v>7</v>
      </c>
      <c r="AF45">
        <v>0</v>
      </c>
    </row>
    <row r="46" spans="2:32" x14ac:dyDescent="0.3">
      <c r="B46" t="s">
        <v>222</v>
      </c>
      <c r="K46">
        <v>13600</v>
      </c>
      <c r="L46">
        <v>1254000</v>
      </c>
      <c r="P46">
        <v>14100</v>
      </c>
      <c r="Q46">
        <v>1254000</v>
      </c>
      <c r="U46">
        <v>11900</v>
      </c>
      <c r="V46">
        <v>1083000</v>
      </c>
      <c r="Z46">
        <v>12800</v>
      </c>
      <c r="AA46">
        <v>1163000</v>
      </c>
      <c r="AE46">
        <v>16700</v>
      </c>
      <c r="AF46">
        <v>1334000</v>
      </c>
    </row>
    <row r="47" spans="2:32" x14ac:dyDescent="0.3">
      <c r="B47" t="s">
        <v>223</v>
      </c>
      <c r="K47">
        <v>10500</v>
      </c>
      <c r="L47">
        <v>962900</v>
      </c>
      <c r="P47">
        <v>8500</v>
      </c>
      <c r="Q47">
        <v>755600</v>
      </c>
      <c r="U47">
        <v>9300</v>
      </c>
      <c r="V47">
        <v>846200</v>
      </c>
      <c r="Z47">
        <v>14800</v>
      </c>
      <c r="AA47">
        <v>1348000</v>
      </c>
      <c r="AE47">
        <v>11700</v>
      </c>
      <c r="AF47">
        <v>934100</v>
      </c>
    </row>
    <row r="48" spans="2:32" x14ac:dyDescent="0.3">
      <c r="B48" t="s">
        <v>224</v>
      </c>
      <c r="H48">
        <v>-4.5199999999999996</v>
      </c>
      <c r="I48">
        <v>0.01</v>
      </c>
      <c r="J48">
        <v>4.8499999999999996</v>
      </c>
      <c r="K48">
        <v>0.03</v>
      </c>
      <c r="M48">
        <v>-6.31</v>
      </c>
      <c r="N48">
        <v>0</v>
      </c>
      <c r="O48">
        <v>1.91</v>
      </c>
      <c r="P48">
        <v>2.29</v>
      </c>
      <c r="R48">
        <v>-9.3800000000000008</v>
      </c>
      <c r="S48">
        <v>-0.19</v>
      </c>
      <c r="T48">
        <v>4.83</v>
      </c>
      <c r="U48">
        <v>6.4</v>
      </c>
      <c r="W48">
        <v>-7.31</v>
      </c>
      <c r="X48">
        <v>0</v>
      </c>
      <c r="Y48">
        <v>1.05</v>
      </c>
      <c r="Z48">
        <v>3.33</v>
      </c>
      <c r="AB48">
        <v>-3.83</v>
      </c>
      <c r="AC48">
        <v>0.2</v>
      </c>
      <c r="AD48">
        <v>2.79</v>
      </c>
      <c r="AE48">
        <v>-0.46</v>
      </c>
    </row>
    <row r="49" spans="2:32" x14ac:dyDescent="0.3">
      <c r="B49" t="s">
        <v>73</v>
      </c>
      <c r="K49">
        <v>105300</v>
      </c>
      <c r="L49">
        <v>9691000</v>
      </c>
      <c r="P49">
        <v>118500</v>
      </c>
      <c r="Q49">
        <v>10548000</v>
      </c>
      <c r="U49">
        <v>120200</v>
      </c>
      <c r="V49">
        <v>10934000</v>
      </c>
      <c r="Z49">
        <v>113300</v>
      </c>
      <c r="AA49">
        <v>10313000</v>
      </c>
      <c r="AE49">
        <v>159400</v>
      </c>
      <c r="AF49">
        <v>12756000</v>
      </c>
    </row>
    <row r="50" spans="2:32" x14ac:dyDescent="0.3">
      <c r="B50" t="s">
        <v>225</v>
      </c>
      <c r="K50">
        <v>25500</v>
      </c>
      <c r="L50">
        <v>2349000</v>
      </c>
      <c r="P50">
        <v>43600</v>
      </c>
      <c r="Q50">
        <v>3884000</v>
      </c>
      <c r="U50">
        <v>31500</v>
      </c>
      <c r="V50">
        <v>2863000</v>
      </c>
      <c r="Z50">
        <v>24900</v>
      </c>
      <c r="AA50">
        <v>2262000</v>
      </c>
      <c r="AE50">
        <v>36700</v>
      </c>
      <c r="AF50">
        <v>2932000</v>
      </c>
    </row>
    <row r="51" spans="2:32" x14ac:dyDescent="0.3">
      <c r="B51" t="s">
        <v>226</v>
      </c>
      <c r="H51">
        <v>0</v>
      </c>
      <c r="I51">
        <v>3.61</v>
      </c>
      <c r="J51">
        <v>33.74</v>
      </c>
      <c r="K51">
        <v>24.24</v>
      </c>
      <c r="M51">
        <v>0</v>
      </c>
      <c r="N51">
        <v>0</v>
      </c>
      <c r="O51">
        <v>79.260000000000005</v>
      </c>
      <c r="P51">
        <v>36.82</v>
      </c>
      <c r="R51">
        <v>0</v>
      </c>
      <c r="S51">
        <v>0</v>
      </c>
      <c r="T51">
        <v>39.53</v>
      </c>
      <c r="U51">
        <v>26.18</v>
      </c>
      <c r="W51">
        <v>0</v>
      </c>
      <c r="X51">
        <v>0</v>
      </c>
      <c r="Y51">
        <v>16.43</v>
      </c>
      <c r="Z51">
        <v>21.93</v>
      </c>
      <c r="AB51">
        <v>0</v>
      </c>
      <c r="AC51">
        <v>0</v>
      </c>
      <c r="AD51">
        <v>14.42</v>
      </c>
      <c r="AE51">
        <v>22.99</v>
      </c>
    </row>
    <row r="52" spans="2:32" x14ac:dyDescent="0.3">
      <c r="B52" t="s">
        <v>227</v>
      </c>
      <c r="H52">
        <v>0</v>
      </c>
      <c r="I52">
        <v>14.14</v>
      </c>
      <c r="J52">
        <v>41.07</v>
      </c>
      <c r="K52">
        <v>27.76</v>
      </c>
      <c r="M52">
        <v>0</v>
      </c>
      <c r="N52">
        <v>11.81</v>
      </c>
      <c r="O52">
        <v>53.14</v>
      </c>
      <c r="P52">
        <v>26.74</v>
      </c>
      <c r="R52">
        <v>0</v>
      </c>
      <c r="S52">
        <v>5.15</v>
      </c>
      <c r="T52">
        <v>39.979999999999997</v>
      </c>
      <c r="U52">
        <v>23.92</v>
      </c>
      <c r="W52">
        <v>0</v>
      </c>
      <c r="X52">
        <v>3.44</v>
      </c>
      <c r="Y52">
        <v>33.630000000000003</v>
      </c>
      <c r="Z52">
        <v>23.63</v>
      </c>
      <c r="AB52">
        <v>0</v>
      </c>
      <c r="AC52">
        <v>7.18</v>
      </c>
      <c r="AD52">
        <v>49.3</v>
      </c>
      <c r="AE52">
        <v>29.73</v>
      </c>
    </row>
    <row r="53" spans="2:32" x14ac:dyDescent="0.3">
      <c r="B53" t="s">
        <v>228</v>
      </c>
      <c r="H53">
        <v>0</v>
      </c>
      <c r="I53">
        <v>35.03</v>
      </c>
      <c r="J53">
        <v>69.03</v>
      </c>
      <c r="K53">
        <v>53.52</v>
      </c>
      <c r="M53">
        <v>0</v>
      </c>
      <c r="N53">
        <v>41.38</v>
      </c>
      <c r="O53">
        <v>71.33</v>
      </c>
      <c r="P53">
        <v>47.29</v>
      </c>
      <c r="R53">
        <v>0</v>
      </c>
      <c r="S53">
        <v>32.369999999999997</v>
      </c>
      <c r="T53">
        <v>74.23</v>
      </c>
      <c r="U53">
        <v>48.19</v>
      </c>
      <c r="W53">
        <v>0</v>
      </c>
      <c r="X53">
        <v>14.36</v>
      </c>
      <c r="Y53">
        <v>56.37</v>
      </c>
      <c r="Z53">
        <v>45.97</v>
      </c>
      <c r="AB53">
        <v>0</v>
      </c>
      <c r="AC53">
        <v>22.76</v>
      </c>
      <c r="AD53">
        <v>74.02</v>
      </c>
      <c r="AE53">
        <v>59.47</v>
      </c>
    </row>
    <row r="54" spans="2:32" x14ac:dyDescent="0.3">
      <c r="B54" t="s">
        <v>229</v>
      </c>
      <c r="K54">
        <v>79800</v>
      </c>
      <c r="L54">
        <v>7342000</v>
      </c>
      <c r="P54">
        <v>74900</v>
      </c>
      <c r="Q54">
        <v>6665000</v>
      </c>
      <c r="U54">
        <v>88700</v>
      </c>
      <c r="V54">
        <v>8071000</v>
      </c>
      <c r="Z54">
        <v>88500</v>
      </c>
      <c r="AA54">
        <v>8051000</v>
      </c>
      <c r="AE54">
        <v>122800</v>
      </c>
      <c r="AF54">
        <v>9823000</v>
      </c>
    </row>
    <row r="55" spans="2:32" x14ac:dyDescent="0.3">
      <c r="B55" t="s">
        <v>230</v>
      </c>
      <c r="K55">
        <v>4900</v>
      </c>
      <c r="L55">
        <v>400600</v>
      </c>
      <c r="P55">
        <v>42400</v>
      </c>
      <c r="Q55">
        <v>3346000</v>
      </c>
      <c r="U55">
        <v>-14700</v>
      </c>
      <c r="V55">
        <v>-1191000</v>
      </c>
      <c r="Z55">
        <v>7300</v>
      </c>
      <c r="AA55">
        <v>595700</v>
      </c>
      <c r="AE55">
        <v>12400</v>
      </c>
      <c r="AF55">
        <v>929700</v>
      </c>
    </row>
    <row r="56" spans="2:32" x14ac:dyDescent="0.3">
      <c r="B56" t="s">
        <v>231</v>
      </c>
      <c r="K56">
        <v>-21700</v>
      </c>
      <c r="L56">
        <v>-1758000</v>
      </c>
      <c r="P56">
        <v>-27800</v>
      </c>
      <c r="Q56">
        <v>-2197000</v>
      </c>
      <c r="U56">
        <v>-28000</v>
      </c>
      <c r="V56">
        <v>-2264000</v>
      </c>
      <c r="Z56">
        <v>-44100</v>
      </c>
      <c r="AA56">
        <v>-3619000</v>
      </c>
      <c r="AE56">
        <v>-40000</v>
      </c>
      <c r="AF56">
        <v>-3001000</v>
      </c>
    </row>
    <row r="57" spans="2:32" x14ac:dyDescent="0.3">
      <c r="B57" t="s">
        <v>232</v>
      </c>
      <c r="K57">
        <v>20300</v>
      </c>
      <c r="L57">
        <v>1642000</v>
      </c>
      <c r="P57">
        <v>-15300</v>
      </c>
      <c r="Q57">
        <v>-1209000</v>
      </c>
      <c r="U57">
        <v>70400</v>
      </c>
      <c r="V57">
        <v>5705000</v>
      </c>
      <c r="Z57">
        <v>54500</v>
      </c>
      <c r="AA57">
        <v>4471000</v>
      </c>
      <c r="AE57">
        <v>32200</v>
      </c>
      <c r="AF57">
        <v>2417000</v>
      </c>
    </row>
    <row r="58" spans="2:32" x14ac:dyDescent="0.3">
      <c r="B58" t="s">
        <v>233</v>
      </c>
      <c r="K58">
        <v>-85200</v>
      </c>
      <c r="L58">
        <v>-6901000</v>
      </c>
      <c r="P58">
        <v>-72400</v>
      </c>
      <c r="Q58">
        <v>-5723000</v>
      </c>
      <c r="U58">
        <v>-58400</v>
      </c>
      <c r="V58">
        <v>-4728000</v>
      </c>
      <c r="Z58">
        <v>-66800</v>
      </c>
      <c r="AA58">
        <v>-5474000</v>
      </c>
      <c r="AE58">
        <v>-72400</v>
      </c>
      <c r="AF58">
        <v>-5431000</v>
      </c>
    </row>
    <row r="59" spans="2:32" x14ac:dyDescent="0.3">
      <c r="B59" t="s">
        <v>234</v>
      </c>
      <c r="K59">
        <v>-522900</v>
      </c>
      <c r="L59">
        <v>-42359000</v>
      </c>
      <c r="P59">
        <v>-503600</v>
      </c>
      <c r="Q59">
        <v>-39787000</v>
      </c>
      <c r="U59">
        <v>-520600</v>
      </c>
      <c r="V59">
        <v>-42166000</v>
      </c>
      <c r="Z59">
        <v>-668800</v>
      </c>
      <c r="AA59">
        <v>-54842000</v>
      </c>
      <c r="AE59">
        <v>-726900</v>
      </c>
      <c r="AF59">
        <v>-54516000</v>
      </c>
    </row>
    <row r="60" spans="2:32" x14ac:dyDescent="0.3">
      <c r="B60" t="s">
        <v>235</v>
      </c>
      <c r="K60">
        <v>628400</v>
      </c>
      <c r="L60">
        <v>50902000</v>
      </c>
      <c r="P60">
        <v>560800</v>
      </c>
      <c r="Q60">
        <v>44301000</v>
      </c>
      <c r="U60">
        <v>649400</v>
      </c>
      <c r="V60">
        <v>52598000</v>
      </c>
      <c r="Z60">
        <v>790100</v>
      </c>
      <c r="AA60">
        <v>64786000</v>
      </c>
      <c r="AE60">
        <v>831500</v>
      </c>
      <c r="AF60">
        <v>62364000</v>
      </c>
    </row>
    <row r="61" spans="2:32" x14ac:dyDescent="0.3">
      <c r="B61" t="s">
        <v>78</v>
      </c>
      <c r="K61">
        <v>47600</v>
      </c>
      <c r="L61">
        <v>4379000</v>
      </c>
      <c r="P61">
        <v>82200</v>
      </c>
      <c r="Q61">
        <v>7316000</v>
      </c>
      <c r="U61">
        <v>79000</v>
      </c>
      <c r="V61">
        <v>7186000</v>
      </c>
      <c r="Z61">
        <v>72100</v>
      </c>
      <c r="AA61">
        <v>6559000</v>
      </c>
      <c r="AE61">
        <v>46000</v>
      </c>
      <c r="AF61">
        <v>3677000</v>
      </c>
    </row>
    <row r="62" spans="2:32" x14ac:dyDescent="0.3">
      <c r="B62" t="s">
        <v>236</v>
      </c>
      <c r="H62">
        <v>0.22</v>
      </c>
      <c r="I62">
        <v>3.97</v>
      </c>
      <c r="J62">
        <v>17.66</v>
      </c>
      <c r="K62">
        <v>12.54</v>
      </c>
      <c r="M62">
        <v>0.37</v>
      </c>
      <c r="N62">
        <v>3.47</v>
      </c>
      <c r="O62">
        <v>11.95</v>
      </c>
      <c r="P62">
        <v>18.55</v>
      </c>
      <c r="R62">
        <v>0.31</v>
      </c>
      <c r="S62">
        <v>3.8</v>
      </c>
      <c r="T62">
        <v>10.39</v>
      </c>
      <c r="U62">
        <v>15.72</v>
      </c>
      <c r="W62">
        <v>0.11</v>
      </c>
      <c r="X62">
        <v>4.22</v>
      </c>
      <c r="Y62">
        <v>8.65</v>
      </c>
      <c r="Z62">
        <v>15.03</v>
      </c>
      <c r="AB62">
        <v>0.11</v>
      </c>
      <c r="AC62">
        <v>3.76</v>
      </c>
      <c r="AD62">
        <v>15.54</v>
      </c>
      <c r="AE62">
        <v>8.57</v>
      </c>
    </row>
    <row r="63" spans="2:32" x14ac:dyDescent="0.3">
      <c r="B63" t="s">
        <v>146</v>
      </c>
      <c r="K63">
        <v>55400</v>
      </c>
      <c r="L63">
        <v>5093000</v>
      </c>
      <c r="P63">
        <v>53900</v>
      </c>
      <c r="Q63">
        <v>4801000</v>
      </c>
      <c r="U63">
        <v>55500</v>
      </c>
      <c r="V63">
        <v>5052000</v>
      </c>
      <c r="Z63">
        <v>64800</v>
      </c>
      <c r="AA63">
        <v>5893000</v>
      </c>
      <c r="AE63">
        <v>69200</v>
      </c>
      <c r="AF63">
        <v>5534000</v>
      </c>
    </row>
    <row r="64" spans="2:32" x14ac:dyDescent="0.3">
      <c r="B64" t="s">
        <v>237</v>
      </c>
      <c r="K64">
        <v>-1400</v>
      </c>
      <c r="L64">
        <v>-116100</v>
      </c>
      <c r="P64">
        <v>-43100</v>
      </c>
      <c r="Q64">
        <v>-3406000</v>
      </c>
      <c r="U64">
        <v>42500</v>
      </c>
      <c r="V64">
        <v>3441000</v>
      </c>
      <c r="Z64">
        <v>10400</v>
      </c>
      <c r="AA64">
        <v>851800</v>
      </c>
      <c r="AE64">
        <v>-7800</v>
      </c>
      <c r="AF64">
        <v>-583600</v>
      </c>
    </row>
    <row r="65" spans="2:32" x14ac:dyDescent="0.3">
      <c r="B65" t="s">
        <v>238</v>
      </c>
      <c r="K65">
        <v>70400</v>
      </c>
      <c r="L65">
        <v>6473000</v>
      </c>
      <c r="P65">
        <v>75600</v>
      </c>
      <c r="Q65">
        <v>6729000</v>
      </c>
      <c r="U65">
        <v>102600</v>
      </c>
      <c r="V65">
        <v>9339000</v>
      </c>
      <c r="Z65">
        <v>85200</v>
      </c>
      <c r="AA65">
        <v>7752000</v>
      </c>
      <c r="AE65">
        <v>90900</v>
      </c>
      <c r="AF65">
        <v>7272000</v>
      </c>
    </row>
    <row r="66" spans="2:32" x14ac:dyDescent="0.3">
      <c r="B66" t="s">
        <v>239</v>
      </c>
      <c r="K66">
        <v>489800</v>
      </c>
      <c r="L66">
        <v>45064000</v>
      </c>
      <c r="P66">
        <v>449800</v>
      </c>
      <c r="Q66">
        <v>40034000</v>
      </c>
      <c r="U66">
        <v>498100</v>
      </c>
      <c r="V66">
        <v>45331000</v>
      </c>
      <c r="Z66">
        <v>600200</v>
      </c>
      <c r="AA66">
        <v>54614000</v>
      </c>
      <c r="AE66">
        <v>693200</v>
      </c>
      <c r="AF66">
        <v>55454000</v>
      </c>
    </row>
    <row r="67" spans="2:32" x14ac:dyDescent="0.3">
      <c r="B67" t="s">
        <v>145</v>
      </c>
      <c r="K67">
        <v>41300</v>
      </c>
      <c r="L67">
        <v>3804000</v>
      </c>
      <c r="P67">
        <v>50100</v>
      </c>
      <c r="Q67">
        <v>4461000</v>
      </c>
      <c r="U67">
        <v>48100</v>
      </c>
      <c r="V67">
        <v>4381000</v>
      </c>
      <c r="Z67">
        <v>46900</v>
      </c>
      <c r="AA67">
        <v>4266000</v>
      </c>
      <c r="AE67">
        <v>52400</v>
      </c>
      <c r="AF67">
        <v>4189000</v>
      </c>
    </row>
    <row r="68" spans="2:32" x14ac:dyDescent="0.3">
      <c r="B68" t="s">
        <v>240</v>
      </c>
      <c r="H68">
        <v>4.49</v>
      </c>
      <c r="I68">
        <v>8.23</v>
      </c>
      <c r="J68">
        <v>15.71</v>
      </c>
      <c r="K68">
        <v>8.18</v>
      </c>
      <c r="M68">
        <v>3.85</v>
      </c>
      <c r="N68">
        <v>10.42</v>
      </c>
      <c r="O68">
        <v>21.96</v>
      </c>
      <c r="P68">
        <v>10.79</v>
      </c>
      <c r="R68">
        <v>5.49</v>
      </c>
      <c r="S68">
        <v>12.01</v>
      </c>
      <c r="T68">
        <v>22.92</v>
      </c>
      <c r="U68">
        <v>9.75</v>
      </c>
      <c r="W68">
        <v>4.3600000000000003</v>
      </c>
      <c r="X68">
        <v>7.92</v>
      </c>
      <c r="Y68">
        <v>17.829999999999998</v>
      </c>
      <c r="Z68">
        <v>7.4</v>
      </c>
      <c r="AB68">
        <v>3.44</v>
      </c>
      <c r="AC68">
        <v>9.1199999999999992</v>
      </c>
      <c r="AD68">
        <v>15.67</v>
      </c>
      <c r="AE68">
        <v>7.12</v>
      </c>
    </row>
    <row r="69" spans="2:32" x14ac:dyDescent="0.3">
      <c r="B69" t="s">
        <v>241</v>
      </c>
      <c r="K69">
        <v>15300</v>
      </c>
      <c r="L69">
        <v>1410000</v>
      </c>
      <c r="P69">
        <v>13700</v>
      </c>
      <c r="Q69">
        <v>1217000</v>
      </c>
      <c r="U69">
        <v>15800</v>
      </c>
      <c r="V69">
        <v>1441000</v>
      </c>
      <c r="Z69">
        <v>16000</v>
      </c>
      <c r="AA69">
        <v>1455000</v>
      </c>
      <c r="AE69">
        <v>20500</v>
      </c>
      <c r="AF69">
        <v>1636000</v>
      </c>
    </row>
    <row r="70" spans="2:32" x14ac:dyDescent="0.3">
      <c r="B70" t="s">
        <v>242</v>
      </c>
      <c r="H70">
        <v>0.38</v>
      </c>
      <c r="I70">
        <v>2.44</v>
      </c>
      <c r="J70">
        <v>7.29</v>
      </c>
      <c r="K70">
        <v>3.03</v>
      </c>
      <c r="M70">
        <v>0.47</v>
      </c>
      <c r="N70">
        <v>2.14</v>
      </c>
      <c r="O70">
        <v>5.91</v>
      </c>
      <c r="P70">
        <v>2.94</v>
      </c>
      <c r="R70">
        <v>0.56000000000000005</v>
      </c>
      <c r="S70">
        <v>2.8</v>
      </c>
      <c r="T70">
        <v>7.39</v>
      </c>
      <c r="U70">
        <v>3.21</v>
      </c>
      <c r="W70">
        <v>0.43</v>
      </c>
      <c r="X70">
        <v>1.67</v>
      </c>
      <c r="Y70">
        <v>4</v>
      </c>
      <c r="Z70">
        <v>2.52</v>
      </c>
      <c r="AB70">
        <v>0.46</v>
      </c>
      <c r="AC70">
        <v>2.1800000000000002</v>
      </c>
      <c r="AD70">
        <v>6.5</v>
      </c>
      <c r="AE70">
        <v>2.78</v>
      </c>
    </row>
    <row r="71" spans="2:32" x14ac:dyDescent="0.3">
      <c r="B71" t="s">
        <v>243</v>
      </c>
      <c r="K71">
        <v>2900</v>
      </c>
      <c r="L71">
        <v>268400</v>
      </c>
      <c r="P71">
        <v>2700</v>
      </c>
      <c r="Q71">
        <v>241600</v>
      </c>
      <c r="U71">
        <v>2400</v>
      </c>
      <c r="V71">
        <v>215700</v>
      </c>
      <c r="Z71">
        <v>1800</v>
      </c>
      <c r="AA71">
        <v>164000</v>
      </c>
      <c r="AE71">
        <v>2700</v>
      </c>
      <c r="AF71">
        <v>212000</v>
      </c>
    </row>
    <row r="72" spans="2:32" x14ac:dyDescent="0.3">
      <c r="B72" t="s">
        <v>244</v>
      </c>
      <c r="H72">
        <v>0.04</v>
      </c>
      <c r="I72">
        <v>0.42</v>
      </c>
      <c r="J72">
        <v>0.97</v>
      </c>
      <c r="K72">
        <v>0.57999999999999996</v>
      </c>
      <c r="M72">
        <v>0</v>
      </c>
      <c r="N72">
        <v>0.18</v>
      </c>
      <c r="O72">
        <v>0.82</v>
      </c>
      <c r="P72">
        <v>0.57999999999999996</v>
      </c>
      <c r="R72">
        <v>0</v>
      </c>
      <c r="S72">
        <v>0.22</v>
      </c>
      <c r="T72">
        <v>0.71</v>
      </c>
      <c r="U72">
        <v>0.48</v>
      </c>
      <c r="W72">
        <v>0</v>
      </c>
      <c r="X72">
        <v>0.09</v>
      </c>
      <c r="Y72">
        <v>0.42</v>
      </c>
      <c r="Z72">
        <v>0.28000000000000003</v>
      </c>
      <c r="AB72">
        <v>0</v>
      </c>
      <c r="AC72">
        <v>0.06</v>
      </c>
      <c r="AD72">
        <v>0.4</v>
      </c>
      <c r="AE72">
        <v>0.36</v>
      </c>
    </row>
    <row r="73" spans="2:32" x14ac:dyDescent="0.3">
      <c r="B73" t="s">
        <v>245</v>
      </c>
      <c r="K73">
        <v>0</v>
      </c>
      <c r="L73">
        <v>100</v>
      </c>
      <c r="P73">
        <v>0</v>
      </c>
      <c r="Q73">
        <v>100</v>
      </c>
      <c r="U73">
        <v>100</v>
      </c>
      <c r="V73">
        <v>10800</v>
      </c>
      <c r="Z73">
        <v>500</v>
      </c>
      <c r="AA73">
        <v>46300</v>
      </c>
      <c r="AE73">
        <v>0</v>
      </c>
      <c r="AF73">
        <v>700</v>
      </c>
    </row>
    <row r="74" spans="2:32" x14ac:dyDescent="0.3">
      <c r="B74" t="s">
        <v>246</v>
      </c>
      <c r="K74">
        <v>400</v>
      </c>
      <c r="L74">
        <v>37600</v>
      </c>
      <c r="P74">
        <v>0</v>
      </c>
      <c r="Q74">
        <v>700</v>
      </c>
      <c r="U74">
        <v>700</v>
      </c>
      <c r="V74">
        <v>64099.999999999898</v>
      </c>
      <c r="Z74">
        <v>500</v>
      </c>
      <c r="AA74">
        <v>45300</v>
      </c>
      <c r="AE74">
        <v>200</v>
      </c>
      <c r="AF74">
        <v>12100</v>
      </c>
    </row>
    <row r="75" spans="2:32" x14ac:dyDescent="0.3">
      <c r="B75" t="s">
        <v>247</v>
      </c>
      <c r="K75">
        <v>0</v>
      </c>
      <c r="L75">
        <v>0</v>
      </c>
      <c r="P75">
        <v>0</v>
      </c>
      <c r="Q75">
        <v>0</v>
      </c>
      <c r="U75">
        <v>0</v>
      </c>
      <c r="V75">
        <v>0</v>
      </c>
      <c r="Z75">
        <v>-300</v>
      </c>
      <c r="AA75">
        <v>-23300</v>
      </c>
      <c r="AE75">
        <v>0</v>
      </c>
      <c r="AF75">
        <v>200</v>
      </c>
    </row>
    <row r="76" spans="2:32" x14ac:dyDescent="0.3">
      <c r="B76" t="s">
        <v>248</v>
      </c>
      <c r="K76">
        <v>0</v>
      </c>
      <c r="L76">
        <v>0</v>
      </c>
      <c r="P76">
        <v>0</v>
      </c>
      <c r="Q76">
        <v>0</v>
      </c>
      <c r="U76">
        <v>0</v>
      </c>
      <c r="V76">
        <v>0</v>
      </c>
      <c r="Z76">
        <v>0</v>
      </c>
      <c r="AA76">
        <v>0</v>
      </c>
      <c r="AE76">
        <v>0</v>
      </c>
      <c r="AF76">
        <v>0</v>
      </c>
    </row>
    <row r="77" spans="2:32" x14ac:dyDescent="0.3">
      <c r="B77" t="s">
        <v>154</v>
      </c>
      <c r="K77">
        <v>5400</v>
      </c>
      <c r="L77">
        <v>493400</v>
      </c>
      <c r="P77">
        <v>4800</v>
      </c>
      <c r="Q77">
        <v>423600</v>
      </c>
      <c r="U77">
        <v>4700</v>
      </c>
      <c r="V77">
        <v>426700</v>
      </c>
      <c r="Z77">
        <v>8200</v>
      </c>
      <c r="AA77">
        <v>745900</v>
      </c>
      <c r="AE77">
        <v>7000</v>
      </c>
      <c r="AF77">
        <v>557800</v>
      </c>
    </row>
    <row r="78" spans="2:32" x14ac:dyDescent="0.3">
      <c r="B78" t="s">
        <v>249</v>
      </c>
      <c r="H78">
        <v>0.06</v>
      </c>
      <c r="I78">
        <v>0.51</v>
      </c>
      <c r="J78">
        <v>1.7</v>
      </c>
      <c r="K78">
        <v>1.06</v>
      </c>
      <c r="M78">
        <v>0.01</v>
      </c>
      <c r="N78">
        <v>0.44</v>
      </c>
      <c r="O78">
        <v>1.1100000000000001</v>
      </c>
      <c r="P78">
        <v>1.02</v>
      </c>
      <c r="R78">
        <v>0.11</v>
      </c>
      <c r="S78">
        <v>0.32</v>
      </c>
      <c r="T78">
        <v>1.32</v>
      </c>
      <c r="U78">
        <v>0.95</v>
      </c>
      <c r="W78">
        <v>0.19</v>
      </c>
      <c r="X78">
        <v>0.7</v>
      </c>
      <c r="Y78">
        <v>2.06</v>
      </c>
      <c r="Z78">
        <v>1.29</v>
      </c>
      <c r="AB78">
        <v>0.04</v>
      </c>
      <c r="AC78">
        <v>0.63</v>
      </c>
      <c r="AD78">
        <v>1.91</v>
      </c>
      <c r="AE78">
        <v>0.95</v>
      </c>
    </row>
    <row r="79" spans="2:32" x14ac:dyDescent="0.3">
      <c r="B79" t="s">
        <v>250</v>
      </c>
      <c r="K79">
        <v>-2000</v>
      </c>
      <c r="L79">
        <v>-184600</v>
      </c>
      <c r="P79">
        <v>-2100</v>
      </c>
      <c r="Q79">
        <v>-184400</v>
      </c>
      <c r="U79">
        <v>-1000</v>
      </c>
      <c r="V79">
        <v>-90000</v>
      </c>
      <c r="Z79">
        <v>-3700</v>
      </c>
      <c r="AA79">
        <v>-334400</v>
      </c>
      <c r="AE79">
        <v>-6000</v>
      </c>
      <c r="AF79">
        <v>-479600</v>
      </c>
    </row>
    <row r="80" spans="2:32" x14ac:dyDescent="0.3">
      <c r="B80" t="s">
        <v>44</v>
      </c>
      <c r="K80">
        <v>42900</v>
      </c>
      <c r="L80">
        <v>3943000</v>
      </c>
      <c r="P80">
        <v>48600</v>
      </c>
      <c r="Q80">
        <v>4328000</v>
      </c>
      <c r="U80">
        <v>43600</v>
      </c>
      <c r="V80">
        <v>3969000</v>
      </c>
      <c r="Z80">
        <v>28900</v>
      </c>
      <c r="AA80">
        <v>2632000</v>
      </c>
      <c r="AE80">
        <v>51600</v>
      </c>
      <c r="AF80">
        <v>4126000</v>
      </c>
    </row>
    <row r="81" spans="2:32" x14ac:dyDescent="0.3">
      <c r="B81" t="s">
        <v>251</v>
      </c>
      <c r="H81">
        <v>0</v>
      </c>
      <c r="I81">
        <v>3.18</v>
      </c>
      <c r="J81">
        <v>18.850000000000001</v>
      </c>
      <c r="K81">
        <v>11.29</v>
      </c>
      <c r="M81">
        <v>0</v>
      </c>
      <c r="N81">
        <v>3.6</v>
      </c>
      <c r="O81">
        <v>18.68</v>
      </c>
      <c r="P81">
        <v>10.97</v>
      </c>
      <c r="R81">
        <v>0</v>
      </c>
      <c r="S81">
        <v>3.26</v>
      </c>
      <c r="T81">
        <v>16.2</v>
      </c>
      <c r="U81">
        <v>8.68</v>
      </c>
      <c r="W81">
        <v>0</v>
      </c>
      <c r="X81">
        <v>2.37</v>
      </c>
      <c r="Y81">
        <v>10.65</v>
      </c>
      <c r="Z81">
        <v>6.03</v>
      </c>
      <c r="AB81">
        <v>0</v>
      </c>
      <c r="AC81">
        <v>3.96</v>
      </c>
      <c r="AD81">
        <v>14.28</v>
      </c>
      <c r="AE81">
        <v>9.6199999999999992</v>
      </c>
    </row>
    <row r="82" spans="2:32" x14ac:dyDescent="0.3">
      <c r="B82" t="s">
        <v>42</v>
      </c>
      <c r="K82">
        <v>4100</v>
      </c>
      <c r="L82">
        <v>381800</v>
      </c>
      <c r="P82">
        <v>5300</v>
      </c>
      <c r="Q82">
        <v>469900</v>
      </c>
      <c r="U82">
        <v>51100</v>
      </c>
      <c r="V82">
        <v>4653000</v>
      </c>
      <c r="Z82">
        <v>60700</v>
      </c>
      <c r="AA82">
        <v>5525000</v>
      </c>
      <c r="AE82">
        <v>95300</v>
      </c>
      <c r="AF82">
        <v>7627000</v>
      </c>
    </row>
    <row r="83" spans="2:32" x14ac:dyDescent="0.3">
      <c r="B83" t="s">
        <v>252</v>
      </c>
      <c r="H83">
        <v>0</v>
      </c>
      <c r="I83">
        <v>0</v>
      </c>
      <c r="J83">
        <v>0.13</v>
      </c>
      <c r="K83">
        <v>1.0900000000000001</v>
      </c>
      <c r="M83">
        <v>0</v>
      </c>
      <c r="N83">
        <v>0</v>
      </c>
      <c r="O83">
        <v>0.15</v>
      </c>
      <c r="P83">
        <v>1.19</v>
      </c>
      <c r="R83">
        <v>0</v>
      </c>
      <c r="S83">
        <v>0</v>
      </c>
      <c r="T83">
        <v>0.26</v>
      </c>
      <c r="U83">
        <v>10.18</v>
      </c>
      <c r="W83">
        <v>0</v>
      </c>
      <c r="X83">
        <v>0</v>
      </c>
      <c r="Y83">
        <v>0.21</v>
      </c>
      <c r="Z83">
        <v>12.66</v>
      </c>
      <c r="AB83">
        <v>0</v>
      </c>
      <c r="AC83">
        <v>0</v>
      </c>
      <c r="AD83">
        <v>0.44</v>
      </c>
      <c r="AE83">
        <v>17.78</v>
      </c>
    </row>
    <row r="84" spans="2:32" x14ac:dyDescent="0.3">
      <c r="B84" t="s">
        <v>253</v>
      </c>
      <c r="K84">
        <v>180300</v>
      </c>
      <c r="L84">
        <v>16589000</v>
      </c>
      <c r="P84">
        <v>179200</v>
      </c>
      <c r="Q84">
        <v>15951000</v>
      </c>
      <c r="U84">
        <v>184000</v>
      </c>
      <c r="V84">
        <v>16744000</v>
      </c>
      <c r="Z84">
        <v>169700</v>
      </c>
      <c r="AA84">
        <v>15443000</v>
      </c>
      <c r="AE84">
        <v>206700</v>
      </c>
      <c r="AF84">
        <v>16535000</v>
      </c>
    </row>
    <row r="85" spans="2:32" x14ac:dyDescent="0.3">
      <c r="B85" t="s">
        <v>254</v>
      </c>
      <c r="H85">
        <v>5.41</v>
      </c>
      <c r="I85">
        <v>28.78</v>
      </c>
      <c r="J85">
        <v>58.91</v>
      </c>
      <c r="K85">
        <v>47.51</v>
      </c>
      <c r="M85">
        <v>3.26</v>
      </c>
      <c r="N85">
        <v>24.59</v>
      </c>
      <c r="O85">
        <v>58.1</v>
      </c>
      <c r="P85">
        <v>40.44</v>
      </c>
      <c r="R85">
        <v>1.52</v>
      </c>
      <c r="S85">
        <v>21.52</v>
      </c>
      <c r="T85">
        <v>56.08</v>
      </c>
      <c r="U85">
        <v>36.630000000000003</v>
      </c>
      <c r="W85">
        <v>1.64</v>
      </c>
      <c r="X85">
        <v>14.16</v>
      </c>
      <c r="Y85">
        <v>51.04</v>
      </c>
      <c r="Z85">
        <v>35.380000000000003</v>
      </c>
      <c r="AB85">
        <v>4.8099999999999996</v>
      </c>
      <c r="AC85">
        <v>26.89</v>
      </c>
      <c r="AD85">
        <v>52.63</v>
      </c>
      <c r="AE85">
        <v>38.54</v>
      </c>
    </row>
    <row r="86" spans="2:32" x14ac:dyDescent="0.3">
      <c r="B86" t="s">
        <v>255</v>
      </c>
      <c r="H86">
        <v>90.99</v>
      </c>
      <c r="I86">
        <v>180.8</v>
      </c>
      <c r="J86">
        <v>556.78</v>
      </c>
      <c r="K86">
        <v>164.41</v>
      </c>
      <c r="M86">
        <v>102.12</v>
      </c>
      <c r="N86">
        <v>222.61</v>
      </c>
      <c r="O86">
        <v>500.3</v>
      </c>
      <c r="P86">
        <v>146.44999999999999</v>
      </c>
      <c r="R86">
        <v>120.92</v>
      </c>
      <c r="S86">
        <v>269.42</v>
      </c>
      <c r="T86">
        <v>504.57</v>
      </c>
      <c r="U86">
        <v>168.77</v>
      </c>
      <c r="W86">
        <v>119.51</v>
      </c>
      <c r="X86">
        <v>264.55</v>
      </c>
      <c r="Y86">
        <v>547.67999999999995</v>
      </c>
      <c r="Z86">
        <v>158.6</v>
      </c>
      <c r="AB86">
        <v>71.13</v>
      </c>
      <c r="AC86">
        <v>203.02</v>
      </c>
      <c r="AD86">
        <v>581.78</v>
      </c>
      <c r="AE86">
        <v>169.85</v>
      </c>
    </row>
    <row r="87" spans="2:32" x14ac:dyDescent="0.3">
      <c r="B87" t="s">
        <v>256</v>
      </c>
      <c r="H87">
        <v>52.86</v>
      </c>
      <c r="I87">
        <v>138.55000000000001</v>
      </c>
      <c r="J87">
        <v>471.17</v>
      </c>
      <c r="K87">
        <v>125.17</v>
      </c>
      <c r="M87">
        <v>58.97</v>
      </c>
      <c r="N87">
        <v>155.93</v>
      </c>
      <c r="O87">
        <v>408.49</v>
      </c>
      <c r="P87">
        <v>116.58</v>
      </c>
      <c r="R87">
        <v>63.75</v>
      </c>
      <c r="S87">
        <v>195.21</v>
      </c>
      <c r="T87">
        <v>448.17</v>
      </c>
      <c r="U87">
        <v>139.55000000000001</v>
      </c>
      <c r="W87">
        <v>69.64</v>
      </c>
      <c r="X87">
        <v>205.14</v>
      </c>
      <c r="Y87">
        <v>491.61</v>
      </c>
      <c r="Z87">
        <v>138.69999999999999</v>
      </c>
      <c r="AB87">
        <v>47.38</v>
      </c>
      <c r="AC87">
        <v>175.43</v>
      </c>
      <c r="AD87">
        <v>422.28</v>
      </c>
      <c r="AE87">
        <v>130.21</v>
      </c>
    </row>
    <row r="88" spans="2:32" x14ac:dyDescent="0.3">
      <c r="B88" t="s">
        <v>257</v>
      </c>
      <c r="H88">
        <v>0.34</v>
      </c>
      <c r="I88">
        <v>3.23</v>
      </c>
      <c r="J88">
        <v>7.91</v>
      </c>
      <c r="K88">
        <v>4.7699999999999996</v>
      </c>
      <c r="M88">
        <v>-4.7</v>
      </c>
      <c r="N88">
        <v>1.61</v>
      </c>
      <c r="O88">
        <v>5.93</v>
      </c>
      <c r="P88">
        <v>4.75</v>
      </c>
      <c r="R88">
        <v>0.02</v>
      </c>
      <c r="S88">
        <v>3.46</v>
      </c>
      <c r="T88">
        <v>7.98</v>
      </c>
      <c r="U88">
        <v>0.55000000000000004</v>
      </c>
      <c r="W88">
        <v>0.66</v>
      </c>
      <c r="X88">
        <v>4.53</v>
      </c>
      <c r="Y88">
        <v>13.44</v>
      </c>
      <c r="Z88">
        <v>6.87</v>
      </c>
      <c r="AB88">
        <v>0.44</v>
      </c>
      <c r="AC88">
        <v>3.42</v>
      </c>
      <c r="AD88">
        <v>14.39</v>
      </c>
      <c r="AE88">
        <v>7</v>
      </c>
    </row>
    <row r="89" spans="2:32" x14ac:dyDescent="0.3">
      <c r="B89" t="s">
        <v>258</v>
      </c>
      <c r="H89">
        <v>1.29</v>
      </c>
      <c r="I89">
        <v>5.53</v>
      </c>
      <c r="J89">
        <v>10.52</v>
      </c>
      <c r="K89">
        <v>7.8</v>
      </c>
      <c r="M89">
        <v>-0.3</v>
      </c>
      <c r="N89">
        <v>3.84</v>
      </c>
      <c r="O89">
        <v>9.64</v>
      </c>
      <c r="P89">
        <v>7.7</v>
      </c>
      <c r="R89">
        <v>1.44</v>
      </c>
      <c r="S89">
        <v>6.91</v>
      </c>
      <c r="T89">
        <v>13.97</v>
      </c>
      <c r="U89">
        <v>3.75</v>
      </c>
      <c r="W89">
        <v>2.41</v>
      </c>
      <c r="X89">
        <v>7.55</v>
      </c>
      <c r="Y89">
        <v>17.52</v>
      </c>
      <c r="Z89">
        <v>9.4</v>
      </c>
      <c r="AB89">
        <v>1.55</v>
      </c>
      <c r="AC89">
        <v>8.0299999999999994</v>
      </c>
      <c r="AD89">
        <v>19.29</v>
      </c>
      <c r="AE89">
        <v>9.7799999999999994</v>
      </c>
    </row>
    <row r="90" spans="2:32" x14ac:dyDescent="0.3">
      <c r="B90" t="s">
        <v>259</v>
      </c>
      <c r="H90">
        <v>-1.31</v>
      </c>
      <c r="I90">
        <v>2.6</v>
      </c>
      <c r="J90">
        <v>6.77</v>
      </c>
      <c r="K90">
        <v>4.2</v>
      </c>
      <c r="M90">
        <v>-4.71</v>
      </c>
      <c r="N90">
        <v>1.26</v>
      </c>
      <c r="O90">
        <v>5.28</v>
      </c>
      <c r="P90">
        <v>4.17</v>
      </c>
      <c r="R90">
        <v>-0.09</v>
      </c>
      <c r="S90">
        <v>2.94</v>
      </c>
      <c r="T90">
        <v>6.84</v>
      </c>
      <c r="U90">
        <v>7.0000000000000007E-2</v>
      </c>
      <c r="W90">
        <v>0.47</v>
      </c>
      <c r="X90">
        <v>4.13</v>
      </c>
      <c r="Y90">
        <v>13.37</v>
      </c>
      <c r="Z90">
        <v>6.59</v>
      </c>
      <c r="AB90">
        <v>0.33</v>
      </c>
      <c r="AC90">
        <v>3.09</v>
      </c>
      <c r="AD90">
        <v>14.01</v>
      </c>
      <c r="AE90">
        <v>6.64</v>
      </c>
    </row>
    <row r="91" spans="2:32" x14ac:dyDescent="0.3">
      <c r="B91" t="s">
        <v>260</v>
      </c>
      <c r="K91">
        <v>75500</v>
      </c>
      <c r="L91">
        <v>6947000</v>
      </c>
      <c r="P91">
        <v>79500</v>
      </c>
      <c r="Q91">
        <v>7076000</v>
      </c>
      <c r="U91">
        <v>69500</v>
      </c>
      <c r="V91">
        <v>6329000</v>
      </c>
      <c r="Z91">
        <v>107600</v>
      </c>
      <c r="AA91">
        <v>9796000</v>
      </c>
      <c r="AE91">
        <v>106500</v>
      </c>
      <c r="AF91">
        <v>8523000</v>
      </c>
    </row>
    <row r="92" spans="2:32" x14ac:dyDescent="0.3">
      <c r="B92" t="s">
        <v>261</v>
      </c>
      <c r="H92">
        <v>5.32</v>
      </c>
      <c r="I92">
        <v>16.010000000000002</v>
      </c>
      <c r="J92">
        <v>26.47</v>
      </c>
      <c r="K92">
        <v>14.93</v>
      </c>
      <c r="M92">
        <v>4.6100000000000003</v>
      </c>
      <c r="N92">
        <v>17.329999999999998</v>
      </c>
      <c r="O92">
        <v>28.09</v>
      </c>
      <c r="P92">
        <v>17.12</v>
      </c>
      <c r="R92">
        <v>7.65</v>
      </c>
      <c r="S92">
        <v>20.02</v>
      </c>
      <c r="T92">
        <v>33.44</v>
      </c>
      <c r="U92">
        <v>14.08</v>
      </c>
      <c r="W92">
        <v>8.83</v>
      </c>
      <c r="X92">
        <v>19.43</v>
      </c>
      <c r="Y92">
        <v>33.630000000000003</v>
      </c>
      <c r="Z92">
        <v>16.989999999999998</v>
      </c>
      <c r="AB92">
        <v>6.6</v>
      </c>
      <c r="AC92">
        <v>19.77</v>
      </c>
      <c r="AD92">
        <v>31.09</v>
      </c>
      <c r="AE92">
        <v>14.49</v>
      </c>
    </row>
    <row r="93" spans="2:32" x14ac:dyDescent="0.3">
      <c r="B93" t="s">
        <v>328</v>
      </c>
      <c r="H93">
        <v>-1.31</v>
      </c>
      <c r="I93">
        <v>2.09</v>
      </c>
      <c r="J93">
        <v>5.38</v>
      </c>
      <c r="K93">
        <v>3.14</v>
      </c>
      <c r="M93">
        <v>-4.9000000000000004</v>
      </c>
      <c r="N93">
        <v>0.8</v>
      </c>
      <c r="O93">
        <v>4.26</v>
      </c>
      <c r="P93">
        <v>3.14</v>
      </c>
      <c r="R93">
        <v>-0.09</v>
      </c>
      <c r="S93">
        <v>1.98</v>
      </c>
      <c r="T93">
        <v>6.02</v>
      </c>
      <c r="U93">
        <v>-0.88</v>
      </c>
      <c r="W93">
        <v>0.24</v>
      </c>
      <c r="X93">
        <v>3.39</v>
      </c>
      <c r="Y93">
        <v>9.68</v>
      </c>
      <c r="Z93">
        <v>5.3</v>
      </c>
      <c r="AB93">
        <v>-0.15</v>
      </c>
      <c r="AC93">
        <v>2.7</v>
      </c>
      <c r="AD93">
        <v>11.94</v>
      </c>
      <c r="AE93">
        <v>5.69</v>
      </c>
    </row>
    <row r="94" spans="2:32" x14ac:dyDescent="0.3">
      <c r="B94" t="s">
        <v>262</v>
      </c>
      <c r="K94">
        <v>45900</v>
      </c>
      <c r="L94">
        <v>4222000</v>
      </c>
      <c r="P94">
        <v>43900</v>
      </c>
      <c r="Q94">
        <v>3907000</v>
      </c>
      <c r="U94">
        <v>15500</v>
      </c>
      <c r="V94">
        <v>1406000</v>
      </c>
      <c r="Z94">
        <v>6000</v>
      </c>
      <c r="AA94">
        <v>542200</v>
      </c>
      <c r="AE94">
        <v>59800</v>
      </c>
      <c r="AF94">
        <v>4787000</v>
      </c>
    </row>
    <row r="95" spans="2:32" x14ac:dyDescent="0.3">
      <c r="B95" t="s">
        <v>263</v>
      </c>
      <c r="L95">
        <v>92</v>
      </c>
      <c r="Q95">
        <v>89</v>
      </c>
      <c r="V95">
        <v>91</v>
      </c>
      <c r="AA95">
        <v>91</v>
      </c>
      <c r="AF95">
        <v>80</v>
      </c>
    </row>
    <row r="96" spans="2:32" x14ac:dyDescent="0.3">
      <c r="B96" t="s">
        <v>264</v>
      </c>
      <c r="K96">
        <v>3</v>
      </c>
      <c r="L96">
        <v>264</v>
      </c>
      <c r="P96">
        <v>3</v>
      </c>
      <c r="Q96">
        <v>269</v>
      </c>
      <c r="U96">
        <v>3</v>
      </c>
      <c r="V96">
        <v>283</v>
      </c>
      <c r="Z96">
        <v>3</v>
      </c>
      <c r="AA96">
        <v>247</v>
      </c>
      <c r="AE96">
        <v>3</v>
      </c>
      <c r="AF96">
        <v>234</v>
      </c>
    </row>
    <row r="97" spans="2:32" x14ac:dyDescent="0.3">
      <c r="B97" t="s">
        <v>265</v>
      </c>
      <c r="H97">
        <v>-7.0000000000000007E-2</v>
      </c>
      <c r="I97">
        <v>0.35</v>
      </c>
      <c r="J97">
        <v>1.4</v>
      </c>
      <c r="K97">
        <v>-1.05</v>
      </c>
      <c r="M97">
        <v>-0.34</v>
      </c>
      <c r="N97">
        <v>0.42</v>
      </c>
      <c r="O97">
        <v>1.39</v>
      </c>
      <c r="P97">
        <v>-1.37</v>
      </c>
      <c r="R97">
        <v>-0.79</v>
      </c>
      <c r="S97">
        <v>0.2</v>
      </c>
      <c r="T97">
        <v>1.2</v>
      </c>
      <c r="U97">
        <v>0.57999999999999996</v>
      </c>
      <c r="W97">
        <v>-0.7</v>
      </c>
      <c r="X97">
        <v>0.12</v>
      </c>
      <c r="Y97">
        <v>0.59</v>
      </c>
      <c r="Z97">
        <v>0.19</v>
      </c>
      <c r="AB97">
        <v>-0.51</v>
      </c>
      <c r="AC97">
        <v>0.18</v>
      </c>
      <c r="AD97">
        <v>0.47</v>
      </c>
      <c r="AE97">
        <v>-2.41</v>
      </c>
    </row>
    <row r="98" spans="2:32" x14ac:dyDescent="0.3">
      <c r="B98" t="s">
        <v>266</v>
      </c>
      <c r="K98">
        <v>5600</v>
      </c>
      <c r="L98">
        <v>516100</v>
      </c>
      <c r="P98">
        <v>6900</v>
      </c>
      <c r="Q98">
        <v>616000</v>
      </c>
      <c r="U98">
        <v>15500</v>
      </c>
      <c r="V98">
        <v>1411000</v>
      </c>
      <c r="Z98">
        <v>5800</v>
      </c>
      <c r="AA98">
        <v>530000</v>
      </c>
      <c r="AE98">
        <v>13900</v>
      </c>
      <c r="AF98">
        <v>1109000</v>
      </c>
    </row>
    <row r="99" spans="2:32" x14ac:dyDescent="0.3">
      <c r="B99" t="s">
        <v>267</v>
      </c>
      <c r="K99">
        <v>10900</v>
      </c>
      <c r="L99">
        <v>999300</v>
      </c>
      <c r="P99">
        <v>12900</v>
      </c>
      <c r="Q99">
        <v>1146000</v>
      </c>
      <c r="U99">
        <v>11300</v>
      </c>
      <c r="V99">
        <v>1029000</v>
      </c>
      <c r="Z99">
        <v>-2100</v>
      </c>
      <c r="AA99">
        <v>-193300</v>
      </c>
      <c r="AE99">
        <v>9500</v>
      </c>
      <c r="AF99">
        <v>757200</v>
      </c>
    </row>
    <row r="100" spans="2:32" x14ac:dyDescent="0.3">
      <c r="B100" t="s">
        <v>149</v>
      </c>
      <c r="K100">
        <v>196800</v>
      </c>
      <c r="L100">
        <v>18109000</v>
      </c>
      <c r="P100">
        <v>250600</v>
      </c>
      <c r="Q100">
        <v>22307000</v>
      </c>
      <c r="U100">
        <v>249300</v>
      </c>
      <c r="V100">
        <v>22690000</v>
      </c>
      <c r="Z100">
        <v>246500</v>
      </c>
      <c r="AA100">
        <v>22435000</v>
      </c>
      <c r="AE100">
        <v>268100</v>
      </c>
      <c r="AF100">
        <v>21451000</v>
      </c>
    </row>
    <row r="101" spans="2:32" x14ac:dyDescent="0.3">
      <c r="B101" t="s">
        <v>77</v>
      </c>
      <c r="K101">
        <v>109200</v>
      </c>
      <c r="L101">
        <v>10049000</v>
      </c>
      <c r="P101">
        <v>162800</v>
      </c>
      <c r="Q101">
        <v>14485000</v>
      </c>
      <c r="U101">
        <v>149200</v>
      </c>
      <c r="V101">
        <v>13580000</v>
      </c>
      <c r="Z101">
        <v>145400</v>
      </c>
      <c r="AA101">
        <v>13228000</v>
      </c>
      <c r="AE101">
        <v>130100</v>
      </c>
      <c r="AF101">
        <v>10411000</v>
      </c>
    </row>
    <row r="102" spans="2:32" x14ac:dyDescent="0.3">
      <c r="B102" t="s">
        <v>71</v>
      </c>
      <c r="K102">
        <v>87600</v>
      </c>
      <c r="L102">
        <v>8059000</v>
      </c>
      <c r="P102">
        <v>87900</v>
      </c>
      <c r="Q102">
        <v>7822000</v>
      </c>
      <c r="U102">
        <v>100100</v>
      </c>
      <c r="V102">
        <v>9110000</v>
      </c>
      <c r="Z102">
        <v>101200</v>
      </c>
      <c r="AA102">
        <v>9207000</v>
      </c>
      <c r="AE102">
        <v>138000</v>
      </c>
      <c r="AF102">
        <v>11040000</v>
      </c>
    </row>
    <row r="103" spans="2:32" x14ac:dyDescent="0.3">
      <c r="B103" t="s">
        <v>268</v>
      </c>
      <c r="K103">
        <v>0</v>
      </c>
      <c r="L103">
        <v>0</v>
      </c>
      <c r="P103">
        <v>0</v>
      </c>
      <c r="Q103">
        <v>0</v>
      </c>
      <c r="U103">
        <v>0</v>
      </c>
      <c r="V103">
        <v>0</v>
      </c>
      <c r="Z103">
        <v>0</v>
      </c>
      <c r="AA103">
        <v>0</v>
      </c>
      <c r="AE103">
        <v>0</v>
      </c>
      <c r="AF103">
        <v>0</v>
      </c>
    </row>
    <row r="104" spans="2:32" x14ac:dyDescent="0.3">
      <c r="B104" t="s">
        <v>269</v>
      </c>
      <c r="K104">
        <v>26.09</v>
      </c>
      <c r="P104">
        <v>33.71</v>
      </c>
      <c r="U104">
        <v>27.47</v>
      </c>
      <c r="Z104">
        <v>24.18</v>
      </c>
      <c r="AE104">
        <v>25</v>
      </c>
    </row>
    <row r="105" spans="2:32" x14ac:dyDescent="0.3">
      <c r="B105" t="s">
        <v>270</v>
      </c>
      <c r="K105">
        <v>20.65</v>
      </c>
      <c r="P105">
        <v>17.98</v>
      </c>
      <c r="U105">
        <v>13.19</v>
      </c>
      <c r="Z105">
        <v>16.48</v>
      </c>
      <c r="AE105">
        <v>20</v>
      </c>
    </row>
    <row r="106" spans="2:32" x14ac:dyDescent="0.3">
      <c r="B106" t="s">
        <v>271</v>
      </c>
      <c r="K106">
        <v>15.22</v>
      </c>
      <c r="P106">
        <v>21.35</v>
      </c>
      <c r="U106">
        <v>14.29</v>
      </c>
      <c r="Z106">
        <v>10.99</v>
      </c>
      <c r="AE106">
        <v>6.25</v>
      </c>
    </row>
    <row r="107" spans="2:32" x14ac:dyDescent="0.3">
      <c r="B107" t="s">
        <v>272</v>
      </c>
      <c r="K107">
        <v>33.700000000000003</v>
      </c>
      <c r="P107">
        <v>39.33</v>
      </c>
      <c r="U107">
        <v>32.97</v>
      </c>
      <c r="Z107">
        <v>29.67</v>
      </c>
      <c r="AE107">
        <v>33.75</v>
      </c>
    </row>
    <row r="108" spans="2:32" x14ac:dyDescent="0.3">
      <c r="B108" t="s">
        <v>273</v>
      </c>
      <c r="H108">
        <v>0</v>
      </c>
      <c r="I108">
        <v>0</v>
      </c>
      <c r="J108">
        <v>0</v>
      </c>
      <c r="K108">
        <v>1.78</v>
      </c>
      <c r="M108">
        <v>0</v>
      </c>
      <c r="N108">
        <v>0</v>
      </c>
      <c r="O108">
        <v>0</v>
      </c>
      <c r="P108">
        <v>1.41</v>
      </c>
      <c r="R108">
        <v>0</v>
      </c>
      <c r="S108">
        <v>0</v>
      </c>
      <c r="T108">
        <v>0</v>
      </c>
      <c r="U108">
        <v>1.1599999999999999</v>
      </c>
      <c r="W108">
        <v>0</v>
      </c>
      <c r="X108">
        <v>0</v>
      </c>
      <c r="Y108">
        <v>0</v>
      </c>
      <c r="Z108">
        <v>0.51</v>
      </c>
      <c r="AB108">
        <v>0</v>
      </c>
      <c r="AC108">
        <v>0</v>
      </c>
      <c r="AD108">
        <v>0</v>
      </c>
      <c r="AE108">
        <v>1.39</v>
      </c>
    </row>
    <row r="109" spans="2:32" x14ac:dyDescent="0.3">
      <c r="B109" t="s">
        <v>274</v>
      </c>
      <c r="H109">
        <v>0</v>
      </c>
      <c r="I109">
        <v>0</v>
      </c>
      <c r="J109">
        <v>0</v>
      </c>
      <c r="K109">
        <v>5.43</v>
      </c>
      <c r="M109">
        <v>0</v>
      </c>
      <c r="N109">
        <v>0</v>
      </c>
      <c r="O109">
        <v>0</v>
      </c>
      <c r="P109">
        <v>8.57</v>
      </c>
      <c r="R109">
        <v>0</v>
      </c>
      <c r="S109">
        <v>0</v>
      </c>
      <c r="T109">
        <v>0</v>
      </c>
      <c r="U109">
        <v>8.32</v>
      </c>
      <c r="W109">
        <v>0</v>
      </c>
      <c r="X109">
        <v>0</v>
      </c>
      <c r="Y109">
        <v>0</v>
      </c>
      <c r="Z109">
        <v>9.65</v>
      </c>
      <c r="AB109">
        <v>0</v>
      </c>
      <c r="AC109">
        <v>0</v>
      </c>
      <c r="AD109">
        <v>0</v>
      </c>
      <c r="AE109">
        <v>6.84</v>
      </c>
    </row>
    <row r="110" spans="2:32" x14ac:dyDescent="0.3">
      <c r="B110" t="s">
        <v>275</v>
      </c>
      <c r="H110">
        <v>1</v>
      </c>
      <c r="I110">
        <v>13</v>
      </c>
      <c r="J110">
        <v>64</v>
      </c>
      <c r="K110">
        <v>36</v>
      </c>
      <c r="M110">
        <v>2</v>
      </c>
      <c r="N110">
        <v>19</v>
      </c>
      <c r="O110">
        <v>58</v>
      </c>
      <c r="P110">
        <v>68</v>
      </c>
      <c r="R110">
        <v>3</v>
      </c>
      <c r="S110">
        <v>15</v>
      </c>
      <c r="T110">
        <v>64</v>
      </c>
      <c r="U110">
        <v>65</v>
      </c>
      <c r="W110">
        <v>1</v>
      </c>
      <c r="X110">
        <v>11</v>
      </c>
      <c r="Y110">
        <v>45</v>
      </c>
      <c r="Z110">
        <v>44</v>
      </c>
      <c r="AB110">
        <v>1</v>
      </c>
      <c r="AC110">
        <v>14</v>
      </c>
      <c r="AD110">
        <v>47</v>
      </c>
      <c r="AE110">
        <v>24</v>
      </c>
    </row>
    <row r="111" spans="2:32" x14ac:dyDescent="0.3">
      <c r="B111" t="s">
        <v>276</v>
      </c>
      <c r="H111">
        <v>0</v>
      </c>
      <c r="I111">
        <v>0</v>
      </c>
      <c r="J111">
        <v>0</v>
      </c>
      <c r="K111">
        <v>19</v>
      </c>
      <c r="M111">
        <v>0</v>
      </c>
      <c r="N111">
        <v>0</v>
      </c>
      <c r="O111">
        <v>0</v>
      </c>
      <c r="P111">
        <v>65</v>
      </c>
      <c r="R111">
        <v>0</v>
      </c>
      <c r="S111">
        <v>0</v>
      </c>
      <c r="T111">
        <v>0</v>
      </c>
      <c r="U111">
        <v>27</v>
      </c>
      <c r="W111">
        <v>0</v>
      </c>
      <c r="X111">
        <v>0</v>
      </c>
      <c r="Y111">
        <v>0</v>
      </c>
      <c r="AB111">
        <v>0</v>
      </c>
      <c r="AC111">
        <v>0</v>
      </c>
      <c r="AD111">
        <v>90</v>
      </c>
      <c r="AE111">
        <v>64</v>
      </c>
    </row>
    <row r="112" spans="2:32" x14ac:dyDescent="0.3">
      <c r="B112" t="s">
        <v>158</v>
      </c>
      <c r="H112">
        <v>0</v>
      </c>
      <c r="I112">
        <v>16</v>
      </c>
      <c r="J112">
        <v>46</v>
      </c>
      <c r="K112">
        <v>30</v>
      </c>
      <c r="M112">
        <v>1</v>
      </c>
      <c r="N112">
        <v>22</v>
      </c>
      <c r="O112">
        <v>54</v>
      </c>
      <c r="P112">
        <v>50</v>
      </c>
      <c r="R112">
        <v>2</v>
      </c>
      <c r="S112">
        <v>23</v>
      </c>
      <c r="T112">
        <v>52</v>
      </c>
      <c r="U112">
        <v>32</v>
      </c>
      <c r="W112">
        <v>0</v>
      </c>
      <c r="X112">
        <v>7</v>
      </c>
      <c r="Y112">
        <v>48</v>
      </c>
      <c r="Z112">
        <v>26</v>
      </c>
      <c r="AB112">
        <v>1</v>
      </c>
      <c r="AC112">
        <v>7</v>
      </c>
      <c r="AD112">
        <v>29</v>
      </c>
      <c r="AE112">
        <v>22</v>
      </c>
    </row>
    <row r="113" spans="2:32" x14ac:dyDescent="0.3">
      <c r="B113" t="s">
        <v>277</v>
      </c>
      <c r="H113">
        <v>0</v>
      </c>
      <c r="I113">
        <v>0</v>
      </c>
      <c r="J113">
        <v>0</v>
      </c>
      <c r="K113">
        <v>2</v>
      </c>
      <c r="M113">
        <v>0</v>
      </c>
      <c r="N113">
        <v>0</v>
      </c>
      <c r="O113">
        <v>0</v>
      </c>
      <c r="P113">
        <v>2</v>
      </c>
      <c r="R113">
        <v>0</v>
      </c>
      <c r="S113">
        <v>0</v>
      </c>
      <c r="T113">
        <v>0</v>
      </c>
      <c r="U113">
        <v>3</v>
      </c>
      <c r="W113">
        <v>0</v>
      </c>
      <c r="X113">
        <v>0</v>
      </c>
      <c r="Y113">
        <v>0</v>
      </c>
      <c r="Z113">
        <v>2</v>
      </c>
      <c r="AB113">
        <v>0</v>
      </c>
      <c r="AC113">
        <v>0</v>
      </c>
      <c r="AD113">
        <v>0</v>
      </c>
      <c r="AE113">
        <v>6</v>
      </c>
    </row>
    <row r="114" spans="2:32" x14ac:dyDescent="0.3">
      <c r="B114" t="s">
        <v>278</v>
      </c>
      <c r="H114">
        <v>5</v>
      </c>
      <c r="I114">
        <v>19</v>
      </c>
      <c r="J114">
        <v>75</v>
      </c>
      <c r="K114">
        <v>43</v>
      </c>
      <c r="M114">
        <v>8</v>
      </c>
      <c r="N114">
        <v>24</v>
      </c>
      <c r="O114">
        <v>87</v>
      </c>
      <c r="P114">
        <v>55</v>
      </c>
      <c r="R114">
        <v>11</v>
      </c>
      <c r="S114">
        <v>30</v>
      </c>
      <c r="T114">
        <v>57</v>
      </c>
      <c r="U114">
        <v>49</v>
      </c>
      <c r="W114">
        <v>4</v>
      </c>
      <c r="X114">
        <v>19</v>
      </c>
      <c r="Y114">
        <v>53</v>
      </c>
      <c r="Z114">
        <v>23</v>
      </c>
      <c r="AB114">
        <v>7</v>
      </c>
      <c r="AC114">
        <v>23</v>
      </c>
      <c r="AD114">
        <v>50</v>
      </c>
      <c r="AE114">
        <v>35</v>
      </c>
    </row>
    <row r="115" spans="2:32" x14ac:dyDescent="0.3">
      <c r="B115" t="s">
        <v>279</v>
      </c>
      <c r="H115">
        <v>3.31</v>
      </c>
      <c r="I115">
        <v>5.52</v>
      </c>
      <c r="J115">
        <v>12.92</v>
      </c>
      <c r="K115">
        <v>7.39</v>
      </c>
      <c r="M115">
        <v>1.1499999999999999</v>
      </c>
      <c r="N115">
        <v>5.28</v>
      </c>
      <c r="O115">
        <v>18.55</v>
      </c>
      <c r="P115">
        <v>7.6</v>
      </c>
      <c r="R115">
        <v>1.74</v>
      </c>
      <c r="S115">
        <v>4</v>
      </c>
      <c r="T115">
        <v>10.17</v>
      </c>
      <c r="U115">
        <v>12.79</v>
      </c>
      <c r="W115">
        <v>0.87</v>
      </c>
      <c r="X115">
        <v>2.88</v>
      </c>
      <c r="Y115">
        <v>10.37</v>
      </c>
      <c r="Z115">
        <v>3.03</v>
      </c>
      <c r="AB115">
        <v>0.71</v>
      </c>
      <c r="AC115">
        <v>3.36</v>
      </c>
      <c r="AD115">
        <v>11.07</v>
      </c>
      <c r="AE115">
        <v>3.69</v>
      </c>
    </row>
    <row r="116" spans="2:32" x14ac:dyDescent="0.3">
      <c r="B116" t="s">
        <v>280</v>
      </c>
      <c r="K116">
        <v>495100</v>
      </c>
      <c r="L116">
        <v>45548000</v>
      </c>
      <c r="P116">
        <v>447900</v>
      </c>
      <c r="Q116">
        <v>39861000</v>
      </c>
      <c r="U116">
        <v>482800</v>
      </c>
      <c r="V116">
        <v>43933000</v>
      </c>
      <c r="Z116">
        <v>621700</v>
      </c>
      <c r="AA116">
        <v>56570000</v>
      </c>
      <c r="AE116">
        <v>705000</v>
      </c>
      <c r="AF116">
        <v>56396000</v>
      </c>
    </row>
    <row r="117" spans="2:32" x14ac:dyDescent="0.3">
      <c r="B117" t="s">
        <v>72</v>
      </c>
      <c r="K117">
        <v>1000</v>
      </c>
      <c r="L117">
        <v>90400</v>
      </c>
      <c r="P117">
        <v>1000</v>
      </c>
      <c r="Q117">
        <v>91400</v>
      </c>
      <c r="U117">
        <v>1400</v>
      </c>
      <c r="V117">
        <v>131500</v>
      </c>
      <c r="Z117">
        <v>1100</v>
      </c>
      <c r="AA117">
        <v>104100</v>
      </c>
      <c r="AE117">
        <v>0</v>
      </c>
      <c r="AF117">
        <v>1000</v>
      </c>
    </row>
    <row r="118" spans="2:32" x14ac:dyDescent="0.3">
      <c r="B118" t="s">
        <v>12</v>
      </c>
      <c r="K118">
        <v>0</v>
      </c>
      <c r="L118">
        <v>0</v>
      </c>
      <c r="P118">
        <v>700</v>
      </c>
      <c r="Q118">
        <v>64099.999999999898</v>
      </c>
      <c r="U118">
        <v>400</v>
      </c>
      <c r="V118">
        <v>40100</v>
      </c>
      <c r="Z118">
        <v>0</v>
      </c>
      <c r="AA118">
        <v>0</v>
      </c>
      <c r="AE118">
        <v>-800</v>
      </c>
      <c r="AF118">
        <v>-64599.999999999898</v>
      </c>
    </row>
    <row r="119" spans="2:32" x14ac:dyDescent="0.3">
      <c r="B119" t="s">
        <v>281</v>
      </c>
      <c r="K119">
        <v>32000</v>
      </c>
      <c r="L119">
        <v>2942000</v>
      </c>
      <c r="P119">
        <v>36600</v>
      </c>
      <c r="Q119">
        <v>3261000</v>
      </c>
      <c r="U119">
        <v>38000</v>
      </c>
      <c r="V119">
        <v>3456000</v>
      </c>
      <c r="Z119">
        <v>37400</v>
      </c>
      <c r="AA119">
        <v>3403000</v>
      </c>
      <c r="AE119">
        <v>40600</v>
      </c>
      <c r="AF119">
        <v>3248000</v>
      </c>
    </row>
    <row r="120" spans="2:32" x14ac:dyDescent="0.3">
      <c r="B120" t="s">
        <v>282</v>
      </c>
      <c r="H120">
        <v>0.21</v>
      </c>
      <c r="I120">
        <v>13.37</v>
      </c>
      <c r="J120">
        <v>26.23</v>
      </c>
      <c r="K120">
        <v>13.7</v>
      </c>
      <c r="M120">
        <v>-1.96</v>
      </c>
      <c r="N120">
        <v>6.87</v>
      </c>
      <c r="O120">
        <v>20.68</v>
      </c>
      <c r="P120">
        <v>11.49</v>
      </c>
      <c r="R120">
        <v>-0.42</v>
      </c>
      <c r="S120">
        <v>7.66</v>
      </c>
      <c r="T120">
        <v>17.89</v>
      </c>
      <c r="U120">
        <v>4.97</v>
      </c>
      <c r="W120">
        <v>0</v>
      </c>
      <c r="X120">
        <v>16.34</v>
      </c>
      <c r="Y120">
        <v>35.71</v>
      </c>
      <c r="Z120">
        <v>17.190000000000001</v>
      </c>
      <c r="AB120">
        <v>2.02</v>
      </c>
      <c r="AC120">
        <v>17.23</v>
      </c>
      <c r="AD120">
        <v>35.46</v>
      </c>
      <c r="AE120">
        <v>16.809999999999999</v>
      </c>
    </row>
    <row r="121" spans="2:32" x14ac:dyDescent="0.3">
      <c r="B121" t="s">
        <v>323</v>
      </c>
      <c r="H121">
        <v>-0.1</v>
      </c>
      <c r="I121">
        <v>7.58</v>
      </c>
      <c r="J121">
        <v>16.489999999999998</v>
      </c>
      <c r="K121">
        <v>10.4</v>
      </c>
      <c r="M121">
        <v>-1.63</v>
      </c>
      <c r="N121">
        <v>3.91</v>
      </c>
      <c r="O121">
        <v>14.87</v>
      </c>
      <c r="P121">
        <v>8.07</v>
      </c>
      <c r="R121">
        <v>-0.4</v>
      </c>
      <c r="S121">
        <v>4.29</v>
      </c>
      <c r="T121">
        <v>12.99</v>
      </c>
      <c r="U121">
        <v>3.69</v>
      </c>
      <c r="W121">
        <v>0</v>
      </c>
      <c r="X121">
        <v>13.2</v>
      </c>
      <c r="Y121">
        <v>25.69</v>
      </c>
      <c r="Z121">
        <v>12.41</v>
      </c>
      <c r="AB121">
        <v>0</v>
      </c>
      <c r="AC121">
        <v>11.59</v>
      </c>
      <c r="AD121">
        <v>23.08</v>
      </c>
      <c r="AE121">
        <v>13.4</v>
      </c>
    </row>
    <row r="122" spans="2:32" x14ac:dyDescent="0.3">
      <c r="B122" t="s">
        <v>135</v>
      </c>
      <c r="H122">
        <v>0.01</v>
      </c>
      <c r="I122">
        <v>8.8000000000000007</v>
      </c>
      <c r="J122">
        <v>34.68</v>
      </c>
      <c r="K122">
        <v>8.69</v>
      </c>
      <c r="M122">
        <v>-4.93</v>
      </c>
      <c r="N122">
        <v>3.27</v>
      </c>
      <c r="O122">
        <v>21.94</v>
      </c>
      <c r="P122">
        <v>7.58</v>
      </c>
      <c r="R122">
        <v>-1.86</v>
      </c>
      <c r="S122">
        <v>3.73</v>
      </c>
      <c r="T122">
        <v>13.05</v>
      </c>
      <c r="U122">
        <v>-1.72</v>
      </c>
      <c r="W122">
        <v>0</v>
      </c>
      <c r="X122">
        <v>8.9600000000000009</v>
      </c>
      <c r="Y122">
        <v>33.01</v>
      </c>
      <c r="Z122">
        <v>14.4</v>
      </c>
      <c r="AB122">
        <v>-1.5</v>
      </c>
      <c r="AC122">
        <v>13.48</v>
      </c>
      <c r="AD122">
        <v>28.91</v>
      </c>
      <c r="AE122">
        <v>15.59</v>
      </c>
    </row>
    <row r="123" spans="2:32" x14ac:dyDescent="0.3">
      <c r="B123" t="s">
        <v>285</v>
      </c>
      <c r="K123">
        <v>505700</v>
      </c>
      <c r="L123">
        <v>46524000</v>
      </c>
      <c r="P123">
        <v>464400</v>
      </c>
      <c r="Q123">
        <v>41333000</v>
      </c>
      <c r="U123">
        <v>493800</v>
      </c>
      <c r="V123">
        <v>44934000</v>
      </c>
      <c r="Z123">
        <v>633700</v>
      </c>
      <c r="AA123">
        <v>57669000</v>
      </c>
      <c r="AE123">
        <v>735000</v>
      </c>
      <c r="AF123">
        <v>58798000</v>
      </c>
    </row>
    <row r="124" spans="2:32" x14ac:dyDescent="0.3">
      <c r="B124" t="s">
        <v>286</v>
      </c>
      <c r="K124">
        <v>0</v>
      </c>
      <c r="L124">
        <v>4500</v>
      </c>
      <c r="P124">
        <v>400</v>
      </c>
      <c r="Q124">
        <v>36100</v>
      </c>
      <c r="U124">
        <v>1500</v>
      </c>
      <c r="V124">
        <v>132200</v>
      </c>
      <c r="Z124">
        <v>7200</v>
      </c>
      <c r="AA124">
        <v>658600</v>
      </c>
      <c r="AE124">
        <v>22100</v>
      </c>
      <c r="AF124">
        <v>1768000</v>
      </c>
    </row>
    <row r="125" spans="2:32" x14ac:dyDescent="0.3">
      <c r="B125" t="s">
        <v>287</v>
      </c>
      <c r="H125">
        <v>0.54</v>
      </c>
      <c r="I125">
        <v>1.32</v>
      </c>
      <c r="J125">
        <v>2.48</v>
      </c>
      <c r="K125">
        <v>1.48</v>
      </c>
      <c r="M125">
        <v>0.47</v>
      </c>
      <c r="N125">
        <v>1.1499999999999999</v>
      </c>
      <c r="O125">
        <v>2.63</v>
      </c>
      <c r="P125">
        <v>1.42</v>
      </c>
      <c r="R125">
        <v>0.44</v>
      </c>
      <c r="S125">
        <v>1.18</v>
      </c>
      <c r="T125">
        <v>2.75</v>
      </c>
      <c r="U125">
        <v>1.47</v>
      </c>
      <c r="W125">
        <v>0.67</v>
      </c>
      <c r="X125">
        <v>1.42</v>
      </c>
      <c r="Y125">
        <v>2.93</v>
      </c>
      <c r="Z125">
        <v>1.61</v>
      </c>
      <c r="AB125">
        <v>0.34</v>
      </c>
      <c r="AC125">
        <v>1.1599999999999999</v>
      </c>
      <c r="AD125">
        <v>2.54</v>
      </c>
      <c r="AE125">
        <v>1.29</v>
      </c>
    </row>
    <row r="126" spans="2:32" x14ac:dyDescent="0.3">
      <c r="B126" t="s">
        <v>288</v>
      </c>
      <c r="H126">
        <v>1.08</v>
      </c>
      <c r="I126">
        <v>4.4400000000000004</v>
      </c>
      <c r="J126">
        <v>8.8000000000000007</v>
      </c>
      <c r="K126">
        <v>6.25</v>
      </c>
      <c r="M126">
        <v>-1.34</v>
      </c>
      <c r="N126">
        <v>3.15</v>
      </c>
      <c r="O126">
        <v>7.72</v>
      </c>
      <c r="P126">
        <v>6.24</v>
      </c>
      <c r="R126">
        <v>1.1499999999999999</v>
      </c>
      <c r="S126">
        <v>6.13</v>
      </c>
      <c r="T126">
        <v>11.88</v>
      </c>
      <c r="U126">
        <v>2.5499999999999998</v>
      </c>
      <c r="W126">
        <v>2.02</v>
      </c>
      <c r="X126">
        <v>6.43</v>
      </c>
      <c r="Y126">
        <v>14.04</v>
      </c>
      <c r="Z126">
        <v>7.86</v>
      </c>
      <c r="AB126">
        <v>1.04</v>
      </c>
      <c r="AC126">
        <v>6.12</v>
      </c>
      <c r="AD126">
        <v>14.39</v>
      </c>
      <c r="AE126">
        <v>8.3800000000000008</v>
      </c>
    </row>
    <row r="127" spans="2:32" x14ac:dyDescent="0.3">
      <c r="B127" t="s">
        <v>289</v>
      </c>
      <c r="H127">
        <v>0.04</v>
      </c>
      <c r="I127">
        <v>0.42</v>
      </c>
      <c r="J127">
        <v>0.97</v>
      </c>
      <c r="K127">
        <v>0.57999999999999996</v>
      </c>
      <c r="M127">
        <v>0</v>
      </c>
      <c r="N127">
        <v>0.18</v>
      </c>
      <c r="O127">
        <v>0.82</v>
      </c>
      <c r="P127">
        <v>0.57999999999999996</v>
      </c>
      <c r="R127">
        <v>0</v>
      </c>
      <c r="S127">
        <v>0.24</v>
      </c>
      <c r="T127">
        <v>0.71</v>
      </c>
      <c r="U127">
        <v>0.48</v>
      </c>
      <c r="W127">
        <v>0</v>
      </c>
      <c r="X127">
        <v>0.09</v>
      </c>
      <c r="Y127">
        <v>0.42</v>
      </c>
      <c r="Z127">
        <v>0.28000000000000003</v>
      </c>
      <c r="AB127">
        <v>0</v>
      </c>
      <c r="AC127">
        <v>0.06</v>
      </c>
      <c r="AD127">
        <v>0.4</v>
      </c>
      <c r="AE127">
        <v>0.36</v>
      </c>
    </row>
    <row r="128" spans="2:32" x14ac:dyDescent="0.3">
      <c r="B128" t="s">
        <v>290</v>
      </c>
      <c r="H128">
        <v>66.64</v>
      </c>
      <c r="I128">
        <v>82.33</v>
      </c>
      <c r="J128">
        <v>88.92</v>
      </c>
      <c r="K128">
        <v>82.91</v>
      </c>
      <c r="M128">
        <v>69.180000000000007</v>
      </c>
      <c r="N128">
        <v>80.94</v>
      </c>
      <c r="O128">
        <v>90.44</v>
      </c>
      <c r="P128">
        <v>80.02</v>
      </c>
      <c r="R128">
        <v>61.22</v>
      </c>
      <c r="S128">
        <v>75.650000000000006</v>
      </c>
      <c r="T128">
        <v>86.99</v>
      </c>
      <c r="U128">
        <v>83.33</v>
      </c>
      <c r="W128">
        <v>61.31</v>
      </c>
      <c r="X128">
        <v>79.72</v>
      </c>
      <c r="Y128">
        <v>89.03</v>
      </c>
      <c r="Z128">
        <v>82.21</v>
      </c>
      <c r="AB128">
        <v>61.11</v>
      </c>
      <c r="AC128">
        <v>77.55</v>
      </c>
      <c r="AD128">
        <v>90.06</v>
      </c>
      <c r="AE128">
        <v>81.209999999999994</v>
      </c>
    </row>
    <row r="129" spans="2:32" x14ac:dyDescent="0.3">
      <c r="B129" t="s">
        <v>291</v>
      </c>
      <c r="H129">
        <v>0.03</v>
      </c>
      <c r="I129">
        <v>0.25</v>
      </c>
      <c r="J129">
        <v>0.96</v>
      </c>
      <c r="K129">
        <v>0.61</v>
      </c>
      <c r="M129">
        <v>0.05</v>
      </c>
      <c r="N129">
        <v>0.34</v>
      </c>
      <c r="O129">
        <v>1.28</v>
      </c>
      <c r="P129">
        <v>0.94</v>
      </c>
      <c r="R129">
        <v>0</v>
      </c>
      <c r="S129">
        <v>0.17</v>
      </c>
      <c r="T129">
        <v>0.8</v>
      </c>
      <c r="U129">
        <v>2.42</v>
      </c>
      <c r="W129">
        <v>0</v>
      </c>
      <c r="X129">
        <v>0.04</v>
      </c>
      <c r="Y129">
        <v>0.43</v>
      </c>
      <c r="Z129">
        <v>0.64</v>
      </c>
      <c r="AB129">
        <v>0.01</v>
      </c>
      <c r="AC129">
        <v>0.15</v>
      </c>
      <c r="AD129">
        <v>0.74</v>
      </c>
      <c r="AE129">
        <v>1.64</v>
      </c>
    </row>
    <row r="130" spans="2:32" x14ac:dyDescent="0.3">
      <c r="B130" t="s">
        <v>292</v>
      </c>
      <c r="H130">
        <v>4.49</v>
      </c>
      <c r="I130">
        <v>8.23</v>
      </c>
      <c r="J130">
        <v>15.71</v>
      </c>
      <c r="K130">
        <v>8.18</v>
      </c>
      <c r="M130">
        <v>4.26</v>
      </c>
      <c r="N130">
        <v>10.65</v>
      </c>
      <c r="O130">
        <v>21.96</v>
      </c>
      <c r="P130">
        <v>10.79</v>
      </c>
      <c r="R130">
        <v>5.93</v>
      </c>
      <c r="S130">
        <v>12.17</v>
      </c>
      <c r="T130">
        <v>22.92</v>
      </c>
      <c r="U130">
        <v>9.75</v>
      </c>
      <c r="W130">
        <v>4.3600000000000003</v>
      </c>
      <c r="X130">
        <v>7.92</v>
      </c>
      <c r="Y130">
        <v>17.829999999999998</v>
      </c>
      <c r="Z130">
        <v>7.4</v>
      </c>
      <c r="AB130">
        <v>3.44</v>
      </c>
      <c r="AC130">
        <v>9.1199999999999992</v>
      </c>
      <c r="AD130">
        <v>15.67</v>
      </c>
      <c r="AE130">
        <v>7.12</v>
      </c>
    </row>
    <row r="131" spans="2:32" x14ac:dyDescent="0.3">
      <c r="B131" t="s">
        <v>293</v>
      </c>
      <c r="K131">
        <v>37600</v>
      </c>
      <c r="L131">
        <v>3457000</v>
      </c>
      <c r="P131">
        <v>43200</v>
      </c>
      <c r="Q131">
        <v>3846000</v>
      </c>
      <c r="U131">
        <v>118900</v>
      </c>
      <c r="V131">
        <v>10820000</v>
      </c>
      <c r="Z131">
        <v>63700</v>
      </c>
      <c r="AA131">
        <v>5794000</v>
      </c>
      <c r="AE131">
        <v>53700</v>
      </c>
      <c r="AF131">
        <v>4297000</v>
      </c>
    </row>
    <row r="132" spans="2:32" x14ac:dyDescent="0.3">
      <c r="B132" t="s">
        <v>74</v>
      </c>
      <c r="K132">
        <v>0</v>
      </c>
      <c r="L132">
        <v>0</v>
      </c>
      <c r="P132">
        <v>0</v>
      </c>
      <c r="Q132">
        <v>0</v>
      </c>
      <c r="U132">
        <v>0</v>
      </c>
      <c r="V132">
        <v>0</v>
      </c>
      <c r="Z132">
        <v>0</v>
      </c>
      <c r="AA132">
        <v>0</v>
      </c>
      <c r="AE132">
        <v>0</v>
      </c>
      <c r="AF132">
        <v>0</v>
      </c>
    </row>
    <row r="133" spans="2:32" x14ac:dyDescent="0.3">
      <c r="B133" t="s">
        <v>294</v>
      </c>
      <c r="K133">
        <v>48300</v>
      </c>
      <c r="L133">
        <v>4445000</v>
      </c>
      <c r="P133">
        <v>42100</v>
      </c>
      <c r="Q133">
        <v>3743000</v>
      </c>
      <c r="U133">
        <v>55600</v>
      </c>
      <c r="V133">
        <v>5060000</v>
      </c>
      <c r="Z133">
        <v>40900</v>
      </c>
      <c r="AA133">
        <v>3723000</v>
      </c>
      <c r="AE133">
        <v>50800</v>
      </c>
      <c r="AF133">
        <v>4064000</v>
      </c>
    </row>
    <row r="134" spans="2:32" x14ac:dyDescent="0.3">
      <c r="B134" t="s">
        <v>295</v>
      </c>
      <c r="H134">
        <v>2.4900000000000002</v>
      </c>
      <c r="I134">
        <v>10.99</v>
      </c>
      <c r="J134">
        <v>28.47</v>
      </c>
      <c r="K134">
        <v>16.8</v>
      </c>
      <c r="M134">
        <v>3.87</v>
      </c>
      <c r="N134">
        <v>9.64</v>
      </c>
      <c r="O134">
        <v>25.45</v>
      </c>
      <c r="P134">
        <v>14.07</v>
      </c>
      <c r="R134">
        <v>3.3</v>
      </c>
      <c r="S134">
        <v>11.73</v>
      </c>
      <c r="T134">
        <v>30.34</v>
      </c>
      <c r="U134">
        <v>14.12</v>
      </c>
      <c r="W134">
        <v>2.57</v>
      </c>
      <c r="X134">
        <v>9.65</v>
      </c>
      <c r="Y134">
        <v>35.39</v>
      </c>
      <c r="Z134">
        <v>12.43</v>
      </c>
      <c r="AB134">
        <v>2.63</v>
      </c>
      <c r="AC134">
        <v>8.18</v>
      </c>
      <c r="AD134">
        <v>26.98</v>
      </c>
      <c r="AE134">
        <v>11.94</v>
      </c>
    </row>
    <row r="135" spans="2:32" x14ac:dyDescent="0.3">
      <c r="B135" t="s">
        <v>296</v>
      </c>
      <c r="K135">
        <v>15500</v>
      </c>
      <c r="L135">
        <v>1422000</v>
      </c>
      <c r="P135">
        <v>20300</v>
      </c>
      <c r="Q135">
        <v>1807000</v>
      </c>
      <c r="U135">
        <v>15300</v>
      </c>
      <c r="V135">
        <v>1393000</v>
      </c>
      <c r="Z135">
        <v>18700</v>
      </c>
      <c r="AA135">
        <v>1701000</v>
      </c>
      <c r="AE135">
        <v>13300</v>
      </c>
      <c r="AF135">
        <v>1060000</v>
      </c>
    </row>
    <row r="136" spans="2:32" x14ac:dyDescent="0.3">
      <c r="B136" t="s">
        <v>297</v>
      </c>
      <c r="K136">
        <v>36100</v>
      </c>
      <c r="L136">
        <v>3321000</v>
      </c>
      <c r="P136">
        <v>36900</v>
      </c>
      <c r="Q136">
        <v>3286000</v>
      </c>
      <c r="U136">
        <v>38800</v>
      </c>
      <c r="V136">
        <v>3531000</v>
      </c>
      <c r="Z136">
        <v>48400</v>
      </c>
      <c r="AA136">
        <v>4408000</v>
      </c>
      <c r="AE136">
        <v>47500</v>
      </c>
      <c r="AF136">
        <v>3802000</v>
      </c>
    </row>
    <row r="137" spans="2:32" x14ac:dyDescent="0.3">
      <c r="B137" t="s">
        <v>298</v>
      </c>
      <c r="H137">
        <v>2.71</v>
      </c>
      <c r="I137">
        <v>6.53</v>
      </c>
      <c r="J137">
        <v>26.47</v>
      </c>
      <c r="K137">
        <v>11.57</v>
      </c>
      <c r="M137">
        <v>1.76</v>
      </c>
      <c r="N137">
        <v>5.67</v>
      </c>
      <c r="O137">
        <v>23.71</v>
      </c>
      <c r="P137">
        <v>11.27</v>
      </c>
      <c r="R137">
        <v>1.1200000000000001</v>
      </c>
      <c r="S137">
        <v>6.52</v>
      </c>
      <c r="T137">
        <v>20.52</v>
      </c>
      <c r="U137">
        <v>10</v>
      </c>
      <c r="W137">
        <v>2.17</v>
      </c>
      <c r="X137">
        <v>12.69</v>
      </c>
      <c r="Y137">
        <v>27.15</v>
      </c>
      <c r="Z137">
        <v>12.75</v>
      </c>
      <c r="AB137">
        <v>1.79</v>
      </c>
      <c r="AC137">
        <v>8.3000000000000007</v>
      </c>
      <c r="AD137">
        <v>23.63</v>
      </c>
      <c r="AE137">
        <v>11.7</v>
      </c>
    </row>
    <row r="138" spans="2:32" x14ac:dyDescent="0.3">
      <c r="B138" t="s">
        <v>299</v>
      </c>
      <c r="K138">
        <v>7800</v>
      </c>
      <c r="L138">
        <v>717400</v>
      </c>
      <c r="P138">
        <v>13000</v>
      </c>
      <c r="Q138">
        <v>1157000</v>
      </c>
      <c r="U138">
        <v>11400</v>
      </c>
      <c r="V138">
        <v>1039000</v>
      </c>
      <c r="Z138">
        <v>12700</v>
      </c>
      <c r="AA138">
        <v>1156000</v>
      </c>
      <c r="AE138">
        <v>15200</v>
      </c>
      <c r="AF138">
        <v>1216000</v>
      </c>
    </row>
    <row r="139" spans="2:32" x14ac:dyDescent="0.3">
      <c r="B139" t="s">
        <v>143</v>
      </c>
      <c r="K139">
        <v>39500</v>
      </c>
      <c r="L139">
        <v>3631000</v>
      </c>
      <c r="P139">
        <v>35700</v>
      </c>
      <c r="Q139">
        <v>3181000</v>
      </c>
      <c r="U139">
        <v>18500</v>
      </c>
      <c r="V139">
        <v>1686000</v>
      </c>
      <c r="Z139">
        <v>59500</v>
      </c>
      <c r="AA139">
        <v>5419000</v>
      </c>
      <c r="AE139">
        <v>71900</v>
      </c>
      <c r="AF139">
        <v>5750000</v>
      </c>
    </row>
    <row r="140" spans="2:32" x14ac:dyDescent="0.3">
      <c r="B140" t="s">
        <v>159</v>
      </c>
      <c r="K140">
        <v>24100</v>
      </c>
      <c r="L140">
        <v>2222000</v>
      </c>
      <c r="P140">
        <v>22100</v>
      </c>
      <c r="Q140">
        <v>1965000</v>
      </c>
      <c r="U140">
        <v>2700</v>
      </c>
      <c r="V140">
        <v>245600</v>
      </c>
      <c r="Z140">
        <v>43600</v>
      </c>
      <c r="AA140">
        <v>3964000</v>
      </c>
      <c r="AE140">
        <v>51400</v>
      </c>
      <c r="AF140">
        <v>4113000</v>
      </c>
    </row>
    <row r="141" spans="2:32" x14ac:dyDescent="0.3">
      <c r="B141" t="s">
        <v>300</v>
      </c>
      <c r="K141">
        <v>21200</v>
      </c>
      <c r="L141">
        <v>1953000</v>
      </c>
      <c r="P141">
        <v>19400</v>
      </c>
      <c r="Q141">
        <v>1723000</v>
      </c>
      <c r="U141">
        <v>300</v>
      </c>
      <c r="V141">
        <v>29900</v>
      </c>
      <c r="Z141">
        <v>41800</v>
      </c>
      <c r="AA141">
        <v>3800000</v>
      </c>
      <c r="AE141">
        <v>48800</v>
      </c>
      <c r="AF141">
        <v>3901000</v>
      </c>
    </row>
    <row r="142" spans="2:32" x14ac:dyDescent="0.3">
      <c r="B142" t="s">
        <v>301</v>
      </c>
      <c r="K142">
        <v>39400</v>
      </c>
      <c r="L142">
        <v>3627000</v>
      </c>
      <c r="P142">
        <v>35300</v>
      </c>
      <c r="Q142">
        <v>3145000</v>
      </c>
      <c r="U142">
        <v>17200</v>
      </c>
      <c r="V142">
        <v>1565000</v>
      </c>
      <c r="Z142">
        <v>52800</v>
      </c>
      <c r="AA142">
        <v>4807000</v>
      </c>
      <c r="AE142">
        <v>49800</v>
      </c>
      <c r="AF142">
        <v>3982000</v>
      </c>
    </row>
    <row r="143" spans="2:32" x14ac:dyDescent="0.3">
      <c r="B143" t="s">
        <v>147</v>
      </c>
      <c r="K143">
        <v>15900</v>
      </c>
      <c r="L143">
        <v>1460000</v>
      </c>
      <c r="P143">
        <v>14600</v>
      </c>
      <c r="Q143">
        <v>1299000</v>
      </c>
      <c r="U143">
        <v>-4400</v>
      </c>
      <c r="V143">
        <v>-396800</v>
      </c>
      <c r="Z143">
        <v>33600</v>
      </c>
      <c r="AA143">
        <v>3054000</v>
      </c>
      <c r="AE143">
        <v>41800</v>
      </c>
      <c r="AF143">
        <v>3344000</v>
      </c>
    </row>
    <row r="144" spans="2:32" x14ac:dyDescent="0.3">
      <c r="B144" t="s">
        <v>302</v>
      </c>
      <c r="H144">
        <v>0.95</v>
      </c>
      <c r="I144">
        <v>1.82</v>
      </c>
      <c r="J144">
        <v>4.46</v>
      </c>
      <c r="K144">
        <v>2.67</v>
      </c>
      <c r="M144">
        <v>1.1200000000000001</v>
      </c>
      <c r="N144">
        <v>3.04</v>
      </c>
      <c r="O144">
        <v>5.87</v>
      </c>
      <c r="P144">
        <v>3.32</v>
      </c>
      <c r="R144">
        <v>1.3</v>
      </c>
      <c r="S144">
        <v>3.11</v>
      </c>
      <c r="T144">
        <v>5.79</v>
      </c>
      <c r="U144">
        <v>6.48</v>
      </c>
      <c r="W144">
        <v>0.27</v>
      </c>
      <c r="X144">
        <v>1.0900000000000001</v>
      </c>
      <c r="Y144">
        <v>4.47</v>
      </c>
      <c r="Z144">
        <v>1.9</v>
      </c>
      <c r="AB144">
        <v>0.37</v>
      </c>
      <c r="AC144">
        <v>1.78</v>
      </c>
      <c r="AD144">
        <v>5.89</v>
      </c>
      <c r="AE144">
        <v>2.2200000000000002</v>
      </c>
    </row>
    <row r="145" spans="2:32" x14ac:dyDescent="0.3">
      <c r="B145" t="s">
        <v>303</v>
      </c>
      <c r="L145">
        <v>7</v>
      </c>
      <c r="Q145">
        <v>8</v>
      </c>
      <c r="V145">
        <v>7</v>
      </c>
      <c r="AA145">
        <v>6</v>
      </c>
      <c r="AF145">
        <v>9</v>
      </c>
    </row>
    <row r="146" spans="2:32" x14ac:dyDescent="0.3">
      <c r="B146" t="s">
        <v>304</v>
      </c>
      <c r="K146">
        <v>20100</v>
      </c>
      <c r="L146">
        <v>1851000</v>
      </c>
      <c r="P146">
        <v>24200</v>
      </c>
      <c r="Q146">
        <v>2156000</v>
      </c>
      <c r="U146">
        <v>25000</v>
      </c>
      <c r="V146">
        <v>2277000</v>
      </c>
      <c r="Z146">
        <v>20800</v>
      </c>
      <c r="AA146">
        <v>1893000</v>
      </c>
      <c r="AE146">
        <v>23600</v>
      </c>
      <c r="AF146">
        <v>1892000</v>
      </c>
    </row>
    <row r="147" spans="2:32" x14ac:dyDescent="0.3">
      <c r="B147" t="s">
        <v>305</v>
      </c>
      <c r="K147">
        <v>24500</v>
      </c>
      <c r="L147">
        <v>2251000</v>
      </c>
      <c r="P147">
        <v>31700</v>
      </c>
      <c r="Q147">
        <v>2822000</v>
      </c>
      <c r="U147">
        <v>87200</v>
      </c>
      <c r="V147">
        <v>7933000</v>
      </c>
      <c r="Z147">
        <v>79200</v>
      </c>
      <c r="AA147">
        <v>7210000</v>
      </c>
      <c r="AE147">
        <v>31100</v>
      </c>
      <c r="AF147">
        <v>2484000</v>
      </c>
    </row>
    <row r="148" spans="2:32" x14ac:dyDescent="0.3">
      <c r="B148" t="s">
        <v>306</v>
      </c>
      <c r="H148">
        <v>0</v>
      </c>
      <c r="I148">
        <v>0</v>
      </c>
      <c r="J148">
        <v>0</v>
      </c>
      <c r="K148">
        <v>0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0</v>
      </c>
      <c r="T148">
        <v>0</v>
      </c>
      <c r="U148">
        <v>0</v>
      </c>
      <c r="W148">
        <v>0</v>
      </c>
      <c r="X148">
        <v>0</v>
      </c>
      <c r="Y148">
        <v>0</v>
      </c>
      <c r="Z148">
        <v>0</v>
      </c>
      <c r="AB148">
        <v>0</v>
      </c>
      <c r="AC148">
        <v>0</v>
      </c>
      <c r="AD148">
        <v>0</v>
      </c>
      <c r="AE148">
        <v>0</v>
      </c>
    </row>
    <row r="149" spans="2:32" x14ac:dyDescent="0.3">
      <c r="B149" t="s">
        <v>307</v>
      </c>
      <c r="H149">
        <v>6.41</v>
      </c>
      <c r="I149">
        <v>16.11</v>
      </c>
      <c r="J149">
        <v>29.93</v>
      </c>
      <c r="K149">
        <v>15.16</v>
      </c>
      <c r="M149">
        <v>8.9700000000000006</v>
      </c>
      <c r="N149">
        <v>18.2</v>
      </c>
      <c r="O149">
        <v>28.11</v>
      </c>
      <c r="P149">
        <v>16.86</v>
      </c>
      <c r="R149">
        <v>10.07</v>
      </c>
      <c r="S149">
        <v>20.62</v>
      </c>
      <c r="T149">
        <v>35.08</v>
      </c>
      <c r="U149">
        <v>14.44</v>
      </c>
      <c r="W149">
        <v>10.35</v>
      </c>
      <c r="X149">
        <v>20.059999999999999</v>
      </c>
      <c r="Y149">
        <v>33.979999999999997</v>
      </c>
      <c r="Z149">
        <v>16.100000000000001</v>
      </c>
      <c r="AB149">
        <v>9.94</v>
      </c>
      <c r="AC149">
        <v>22.11</v>
      </c>
      <c r="AD149">
        <v>33.46</v>
      </c>
      <c r="AE149">
        <v>15.21</v>
      </c>
    </row>
    <row r="150" spans="2:32" x14ac:dyDescent="0.3">
      <c r="B150" t="s">
        <v>308</v>
      </c>
      <c r="K150">
        <v>75000</v>
      </c>
      <c r="L150">
        <v>6904000</v>
      </c>
      <c r="P150">
        <v>75500</v>
      </c>
      <c r="Q150">
        <v>6719000</v>
      </c>
      <c r="U150">
        <v>69700</v>
      </c>
      <c r="V150">
        <v>6344000</v>
      </c>
      <c r="Z150">
        <v>100100</v>
      </c>
      <c r="AA150">
        <v>9110000</v>
      </c>
      <c r="AE150">
        <v>107200</v>
      </c>
      <c r="AF150">
        <v>8577000</v>
      </c>
    </row>
    <row r="151" spans="2:32" x14ac:dyDescent="0.3">
      <c r="B151" t="s">
        <v>309</v>
      </c>
      <c r="K151">
        <v>3500</v>
      </c>
      <c r="L151">
        <v>284500</v>
      </c>
      <c r="P151">
        <v>-800</v>
      </c>
      <c r="Q151">
        <v>-60000</v>
      </c>
      <c r="U151">
        <v>27800</v>
      </c>
      <c r="V151">
        <v>2250000</v>
      </c>
      <c r="Z151">
        <v>17700</v>
      </c>
      <c r="AA151">
        <v>1448000</v>
      </c>
      <c r="AE151">
        <v>4600</v>
      </c>
      <c r="AF151">
        <v>346100</v>
      </c>
    </row>
    <row r="152" spans="2:32" x14ac:dyDescent="0.3">
      <c r="B152" t="s">
        <v>142</v>
      </c>
      <c r="K152">
        <v>494800</v>
      </c>
      <c r="L152">
        <v>45520000</v>
      </c>
      <c r="P152">
        <v>451100</v>
      </c>
      <c r="Q152">
        <v>40151000</v>
      </c>
      <c r="U152">
        <v>481000</v>
      </c>
      <c r="V152">
        <v>43774000</v>
      </c>
      <c r="Z152">
        <v>628600</v>
      </c>
      <c r="AA152">
        <v>57203000</v>
      </c>
      <c r="AE152">
        <v>703400</v>
      </c>
      <c r="AF152">
        <v>56272000</v>
      </c>
    </row>
    <row r="153" spans="2:32" x14ac:dyDescent="0.3">
      <c r="B153" t="s">
        <v>310</v>
      </c>
      <c r="K153">
        <v>26900</v>
      </c>
      <c r="L153">
        <v>2473000</v>
      </c>
      <c r="P153">
        <v>38700</v>
      </c>
      <c r="Q153">
        <v>3443000</v>
      </c>
      <c r="U153">
        <v>40000</v>
      </c>
      <c r="V153">
        <v>3641000</v>
      </c>
      <c r="Z153">
        <v>60600</v>
      </c>
      <c r="AA153">
        <v>5517000</v>
      </c>
      <c r="AE153">
        <v>48100</v>
      </c>
      <c r="AF153">
        <v>3847000</v>
      </c>
    </row>
    <row r="154" spans="2:32" x14ac:dyDescent="0.3">
      <c r="B154" t="s">
        <v>311</v>
      </c>
      <c r="K154">
        <v>467900</v>
      </c>
      <c r="L154">
        <v>43048000</v>
      </c>
      <c r="P154">
        <v>412500</v>
      </c>
      <c r="Q154">
        <v>36709000</v>
      </c>
      <c r="U154">
        <v>441000</v>
      </c>
      <c r="V154">
        <v>40133000</v>
      </c>
      <c r="Z154">
        <v>568000</v>
      </c>
      <c r="AA154">
        <v>51686000</v>
      </c>
      <c r="AE154">
        <v>655300</v>
      </c>
      <c r="AF154">
        <v>52426000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F5FA-90FD-4A52-8152-FC6C14B98D8D}">
  <sheetPr codeName="Sheet5"/>
  <dimension ref="B2:I97"/>
  <sheetViews>
    <sheetView zoomScale="70" zoomScaleNormal="70" workbookViewId="0">
      <selection activeCell="I86" sqref="I86"/>
    </sheetView>
  </sheetViews>
  <sheetFormatPr defaultRowHeight="14.4" x14ac:dyDescent="0.3"/>
  <cols>
    <col min="2" max="2" width="12.109375" style="70" customWidth="1"/>
    <col min="3" max="3" width="18.5546875" customWidth="1"/>
    <col min="4" max="4" width="66" customWidth="1"/>
    <col min="5" max="5" width="17.33203125" customWidth="1"/>
    <col min="6" max="6" width="15.88671875" customWidth="1"/>
    <col min="7" max="7" width="16.6640625" customWidth="1"/>
    <col min="8" max="8" width="18.6640625" customWidth="1"/>
    <col min="11" max="11" width="8.88671875" customWidth="1"/>
  </cols>
  <sheetData>
    <row r="2" spans="2:9" x14ac:dyDescent="0.3">
      <c r="B2" s="72" t="s">
        <v>338</v>
      </c>
      <c r="C2" s="72" t="s">
        <v>355</v>
      </c>
      <c r="D2" s="72" t="s">
        <v>356</v>
      </c>
      <c r="E2" s="72" t="s">
        <v>313</v>
      </c>
      <c r="F2" s="72" t="s">
        <v>314</v>
      </c>
      <c r="G2" s="72" t="s">
        <v>315</v>
      </c>
      <c r="H2" s="72" t="s">
        <v>316</v>
      </c>
      <c r="I2" s="72" t="s">
        <v>317</v>
      </c>
    </row>
    <row r="3" spans="2:9" x14ac:dyDescent="0.3">
      <c r="B3" s="70" t="s">
        <v>473</v>
      </c>
      <c r="C3" s="72" t="s">
        <v>339</v>
      </c>
      <c r="D3" s="73" t="s">
        <v>357</v>
      </c>
      <c r="E3" s="69">
        <v>26.83</v>
      </c>
      <c r="F3" s="69">
        <v>26.14</v>
      </c>
      <c r="G3" s="69">
        <v>27.03</v>
      </c>
      <c r="H3" s="69">
        <v>27.24</v>
      </c>
      <c r="I3" s="71">
        <v>25.77</v>
      </c>
    </row>
    <row r="4" spans="2:9" x14ac:dyDescent="0.3">
      <c r="B4" s="70" t="s">
        <v>474</v>
      </c>
      <c r="C4" s="72" t="s">
        <v>339</v>
      </c>
      <c r="D4" s="73" t="s">
        <v>358</v>
      </c>
      <c r="E4" s="69">
        <v>31.77</v>
      </c>
      <c r="F4" s="69">
        <v>33.19</v>
      </c>
      <c r="G4" s="69">
        <v>32.79</v>
      </c>
      <c r="H4" s="69">
        <v>33.840000000000003</v>
      </c>
      <c r="I4" s="71">
        <v>33.4</v>
      </c>
    </row>
    <row r="5" spans="2:9" x14ac:dyDescent="0.3">
      <c r="B5" s="70" t="s">
        <v>475</v>
      </c>
      <c r="C5" s="72" t="s">
        <v>339</v>
      </c>
      <c r="D5" s="73" t="s">
        <v>359</v>
      </c>
      <c r="E5" s="69">
        <v>43.09</v>
      </c>
      <c r="F5" s="69">
        <v>42.84</v>
      </c>
      <c r="G5" s="69">
        <v>43.82</v>
      </c>
      <c r="H5" s="69">
        <v>42.28</v>
      </c>
      <c r="I5" s="71">
        <v>48.61</v>
      </c>
    </row>
    <row r="6" spans="2:9" x14ac:dyDescent="0.3">
      <c r="B6" s="70" t="s">
        <v>476</v>
      </c>
      <c r="C6" s="72" t="s">
        <v>340</v>
      </c>
      <c r="D6" s="73" t="s">
        <v>360</v>
      </c>
      <c r="E6" s="69" t="s">
        <v>353</v>
      </c>
      <c r="F6" s="69">
        <v>47.09</v>
      </c>
      <c r="G6" s="69" t="s">
        <v>353</v>
      </c>
      <c r="H6" s="69">
        <v>37.6</v>
      </c>
      <c r="I6" s="71" t="s">
        <v>353</v>
      </c>
    </row>
    <row r="7" spans="2:9" x14ac:dyDescent="0.3">
      <c r="B7" s="70" t="s">
        <v>477</v>
      </c>
      <c r="C7" s="72" t="s">
        <v>340</v>
      </c>
      <c r="D7" s="73" t="s">
        <v>361</v>
      </c>
      <c r="E7" s="69">
        <v>36.659999999999997</v>
      </c>
      <c r="F7" s="69">
        <v>36.43</v>
      </c>
      <c r="G7" s="69">
        <v>37.950000000000003</v>
      </c>
      <c r="H7" s="69">
        <v>40.119999999999997</v>
      </c>
      <c r="I7" s="71">
        <v>39.21</v>
      </c>
    </row>
    <row r="8" spans="2:9" x14ac:dyDescent="0.3">
      <c r="B8" s="70" t="s">
        <v>478</v>
      </c>
      <c r="C8" s="72" t="s">
        <v>340</v>
      </c>
      <c r="D8" s="73" t="s">
        <v>362</v>
      </c>
      <c r="E8" s="69" t="s">
        <v>353</v>
      </c>
      <c r="F8" s="69">
        <v>26.92</v>
      </c>
      <c r="G8" s="69" t="s">
        <v>353</v>
      </c>
      <c r="H8" s="69">
        <v>8.4</v>
      </c>
      <c r="I8" s="71" t="s">
        <v>353</v>
      </c>
    </row>
    <row r="9" spans="2:9" x14ac:dyDescent="0.3">
      <c r="B9" s="70">
        <v>10</v>
      </c>
      <c r="C9" s="72" t="s">
        <v>341</v>
      </c>
      <c r="D9" s="73" t="s">
        <v>363</v>
      </c>
      <c r="E9" s="69">
        <v>20.66</v>
      </c>
      <c r="F9" s="69">
        <v>20.63</v>
      </c>
      <c r="G9" s="69">
        <v>20.28</v>
      </c>
      <c r="H9" s="69">
        <v>19.89</v>
      </c>
      <c r="I9" s="71">
        <v>19.53</v>
      </c>
    </row>
    <row r="10" spans="2:9" x14ac:dyDescent="0.3">
      <c r="B10" s="70">
        <v>11</v>
      </c>
      <c r="C10" s="72" t="s">
        <v>341</v>
      </c>
      <c r="D10" s="73" t="s">
        <v>364</v>
      </c>
      <c r="E10" s="69">
        <v>26.98</v>
      </c>
      <c r="F10" s="69">
        <v>27.36</v>
      </c>
      <c r="G10" s="69">
        <v>27.33</v>
      </c>
      <c r="H10" s="69">
        <v>26.69</v>
      </c>
      <c r="I10" s="71">
        <v>27.81</v>
      </c>
    </row>
    <row r="11" spans="2:9" x14ac:dyDescent="0.3">
      <c r="B11" s="70">
        <v>12</v>
      </c>
      <c r="C11" s="72" t="s">
        <v>341</v>
      </c>
      <c r="D11" s="73" t="s">
        <v>365</v>
      </c>
      <c r="E11" s="69">
        <v>59.58</v>
      </c>
      <c r="F11" s="69">
        <v>59.85</v>
      </c>
      <c r="G11" s="69">
        <v>59.79</v>
      </c>
      <c r="H11" s="69">
        <v>60.48</v>
      </c>
      <c r="I11" s="71">
        <v>62.06</v>
      </c>
    </row>
    <row r="12" spans="2:9" x14ac:dyDescent="0.3">
      <c r="B12" s="70">
        <v>13</v>
      </c>
      <c r="C12" s="72" t="s">
        <v>341</v>
      </c>
      <c r="D12" s="73" t="s">
        <v>366</v>
      </c>
      <c r="E12" s="69">
        <v>29.54</v>
      </c>
      <c r="F12" s="69">
        <v>29.6</v>
      </c>
      <c r="G12" s="69">
        <v>30.47</v>
      </c>
      <c r="H12" s="69">
        <v>32.46</v>
      </c>
      <c r="I12" s="71">
        <v>31.17</v>
      </c>
    </row>
    <row r="13" spans="2:9" x14ac:dyDescent="0.3">
      <c r="B13" s="70">
        <v>14</v>
      </c>
      <c r="C13" s="72" t="s">
        <v>341</v>
      </c>
      <c r="D13" s="73" t="s">
        <v>367</v>
      </c>
      <c r="E13" s="69">
        <v>33.76</v>
      </c>
      <c r="F13" s="69">
        <v>34.4</v>
      </c>
      <c r="G13" s="69">
        <v>34.46</v>
      </c>
      <c r="H13" s="69">
        <v>35.22</v>
      </c>
      <c r="I13" s="71">
        <v>34.54</v>
      </c>
    </row>
    <row r="14" spans="2:9" x14ac:dyDescent="0.3">
      <c r="B14" s="70">
        <v>15</v>
      </c>
      <c r="C14" s="72" t="s">
        <v>341</v>
      </c>
      <c r="D14" s="73" t="s">
        <v>368</v>
      </c>
      <c r="E14" s="69">
        <v>30.94</v>
      </c>
      <c r="F14" s="69">
        <v>31.36</v>
      </c>
      <c r="G14" s="69">
        <v>32.29</v>
      </c>
      <c r="H14" s="69">
        <v>33.08</v>
      </c>
      <c r="I14" s="71">
        <v>33.04</v>
      </c>
    </row>
    <row r="15" spans="2:9" x14ac:dyDescent="0.3">
      <c r="B15" s="70">
        <v>16</v>
      </c>
      <c r="C15" s="72" t="s">
        <v>341</v>
      </c>
      <c r="D15" s="73" t="s">
        <v>369</v>
      </c>
      <c r="E15" s="69">
        <v>25.67</v>
      </c>
      <c r="F15" s="69">
        <v>24.58</v>
      </c>
      <c r="G15" s="69">
        <v>24.45</v>
      </c>
      <c r="H15" s="69">
        <v>25.54</v>
      </c>
      <c r="I15" s="71">
        <v>24.76</v>
      </c>
    </row>
    <row r="16" spans="2:9" x14ac:dyDescent="0.3">
      <c r="B16" s="70">
        <v>17</v>
      </c>
      <c r="C16" s="72" t="s">
        <v>341</v>
      </c>
      <c r="D16" s="73" t="s">
        <v>370</v>
      </c>
      <c r="E16" s="69">
        <v>20.75</v>
      </c>
      <c r="F16" s="69">
        <v>23.14</v>
      </c>
      <c r="G16" s="69">
        <v>22.24</v>
      </c>
      <c r="H16" s="69">
        <v>21.72</v>
      </c>
      <c r="I16" s="71">
        <v>23.15</v>
      </c>
    </row>
    <row r="17" spans="2:9" x14ac:dyDescent="0.3">
      <c r="B17" s="70">
        <v>18</v>
      </c>
      <c r="C17" s="72" t="s">
        <v>341</v>
      </c>
      <c r="D17" s="73" t="s">
        <v>371</v>
      </c>
      <c r="E17" s="69">
        <v>42.44</v>
      </c>
      <c r="F17" s="69">
        <v>42.38</v>
      </c>
      <c r="G17" s="69">
        <v>41.75</v>
      </c>
      <c r="H17" s="69">
        <v>41.65</v>
      </c>
      <c r="I17" s="71">
        <v>41.92</v>
      </c>
    </row>
    <row r="18" spans="2:9" x14ac:dyDescent="0.3">
      <c r="B18" s="70">
        <v>19</v>
      </c>
      <c r="C18" s="72" t="s">
        <v>341</v>
      </c>
      <c r="D18" s="73" t="s">
        <v>372</v>
      </c>
      <c r="E18" s="69">
        <v>11.72</v>
      </c>
      <c r="F18" s="69">
        <v>7.8</v>
      </c>
      <c r="G18" s="69">
        <v>4.42</v>
      </c>
      <c r="H18" s="69">
        <v>-2.91</v>
      </c>
      <c r="I18" s="71">
        <v>7.16</v>
      </c>
    </row>
    <row r="19" spans="2:9" x14ac:dyDescent="0.3">
      <c r="B19" s="70">
        <v>20</v>
      </c>
      <c r="C19" s="72" t="s">
        <v>341</v>
      </c>
      <c r="D19" s="73" t="s">
        <v>373</v>
      </c>
      <c r="E19" s="69">
        <v>19.2</v>
      </c>
      <c r="F19" s="69">
        <v>16.05</v>
      </c>
      <c r="G19" s="69">
        <v>16.57</v>
      </c>
      <c r="H19" s="69">
        <v>19.37</v>
      </c>
      <c r="I19" s="71">
        <v>19.46</v>
      </c>
    </row>
    <row r="20" spans="2:9" x14ac:dyDescent="0.3">
      <c r="B20" s="70">
        <v>21</v>
      </c>
      <c r="C20" s="72" t="s">
        <v>341</v>
      </c>
      <c r="D20" s="73" t="s">
        <v>374</v>
      </c>
      <c r="E20" s="69">
        <v>43.29</v>
      </c>
      <c r="F20" s="69">
        <v>39.32</v>
      </c>
      <c r="G20" s="69">
        <v>40.28</v>
      </c>
      <c r="H20" s="69">
        <v>45.2</v>
      </c>
      <c r="I20" s="71">
        <v>42.94</v>
      </c>
    </row>
    <row r="21" spans="2:9" x14ac:dyDescent="0.3">
      <c r="B21" s="70">
        <v>22</v>
      </c>
      <c r="C21" s="72" t="s">
        <v>341</v>
      </c>
      <c r="D21" s="73" t="s">
        <v>375</v>
      </c>
      <c r="E21" s="69">
        <v>30.31</v>
      </c>
      <c r="F21" s="69">
        <v>30.22</v>
      </c>
      <c r="G21" s="69">
        <v>31.19</v>
      </c>
      <c r="H21" s="69">
        <v>33.729999999999997</v>
      </c>
      <c r="I21" s="71">
        <v>30.28</v>
      </c>
    </row>
    <row r="22" spans="2:9" x14ac:dyDescent="0.3">
      <c r="B22" s="70">
        <v>23</v>
      </c>
      <c r="C22" s="72" t="s">
        <v>341</v>
      </c>
      <c r="D22" s="73" t="s">
        <v>376</v>
      </c>
      <c r="E22" s="69">
        <v>34.56</v>
      </c>
      <c r="F22" s="69">
        <v>34.56</v>
      </c>
      <c r="G22" s="69">
        <v>35.36</v>
      </c>
      <c r="H22" s="69">
        <v>37.130000000000003</v>
      </c>
      <c r="I22" s="71">
        <v>32.619999999999997</v>
      </c>
    </row>
    <row r="23" spans="2:9" x14ac:dyDescent="0.3">
      <c r="B23" s="70">
        <v>24</v>
      </c>
      <c r="C23" s="72" t="s">
        <v>341</v>
      </c>
      <c r="D23" s="73" t="s">
        <v>377</v>
      </c>
      <c r="E23" s="69">
        <v>17</v>
      </c>
      <c r="F23" s="69">
        <v>16.02</v>
      </c>
      <c r="G23" s="69">
        <v>16</v>
      </c>
      <c r="H23" s="69">
        <v>15.94</v>
      </c>
      <c r="I23" s="71">
        <v>20.59</v>
      </c>
    </row>
    <row r="24" spans="2:9" x14ac:dyDescent="0.3">
      <c r="B24" s="70">
        <v>25</v>
      </c>
      <c r="C24" s="72" t="s">
        <v>341</v>
      </c>
      <c r="D24" s="73" t="s">
        <v>378</v>
      </c>
      <c r="E24" s="69">
        <v>35.840000000000003</v>
      </c>
      <c r="F24" s="69">
        <v>36.14</v>
      </c>
      <c r="G24" s="69">
        <v>36.340000000000003</v>
      </c>
      <c r="H24" s="69">
        <v>37.11</v>
      </c>
      <c r="I24" s="71">
        <v>35.340000000000003</v>
      </c>
    </row>
    <row r="25" spans="2:9" x14ac:dyDescent="0.3">
      <c r="B25" s="70">
        <v>26</v>
      </c>
      <c r="C25" s="72" t="s">
        <v>341</v>
      </c>
      <c r="D25" s="73" t="s">
        <v>379</v>
      </c>
      <c r="E25" s="69">
        <v>17.98</v>
      </c>
      <c r="F25" s="69">
        <v>18.3</v>
      </c>
      <c r="G25" s="69">
        <v>18.079999999999998</v>
      </c>
      <c r="H25" s="69">
        <v>16.93</v>
      </c>
      <c r="I25" s="71">
        <v>18.88</v>
      </c>
    </row>
    <row r="26" spans="2:9" x14ac:dyDescent="0.3">
      <c r="B26" s="70">
        <v>27</v>
      </c>
      <c r="C26" s="72" t="s">
        <v>341</v>
      </c>
      <c r="D26" s="73" t="s">
        <v>380</v>
      </c>
      <c r="E26" s="69">
        <v>25.84</v>
      </c>
      <c r="F26" s="69">
        <v>23.91</v>
      </c>
      <c r="G26" s="69">
        <v>25.38</v>
      </c>
      <c r="H26" s="69">
        <v>26.95</v>
      </c>
      <c r="I26" s="71">
        <v>25.92</v>
      </c>
    </row>
    <row r="27" spans="2:9" x14ac:dyDescent="0.3">
      <c r="B27" s="70">
        <v>28</v>
      </c>
      <c r="C27" s="72" t="s">
        <v>341</v>
      </c>
      <c r="D27" s="73" t="s">
        <v>381</v>
      </c>
      <c r="E27" s="69">
        <v>33.65</v>
      </c>
      <c r="F27" s="69">
        <v>32.53</v>
      </c>
      <c r="G27" s="69">
        <v>33.49</v>
      </c>
      <c r="H27" s="69">
        <v>34.869999999999997</v>
      </c>
      <c r="I27" s="71">
        <v>31.47</v>
      </c>
    </row>
    <row r="28" spans="2:9" x14ac:dyDescent="0.3">
      <c r="B28" s="70">
        <v>29</v>
      </c>
      <c r="C28" s="72" t="s">
        <v>341</v>
      </c>
      <c r="D28" s="73" t="s">
        <v>382</v>
      </c>
      <c r="E28" s="69">
        <v>15.7</v>
      </c>
      <c r="F28" s="69">
        <v>15.63</v>
      </c>
      <c r="G28" s="69">
        <v>15.28</v>
      </c>
      <c r="H28" s="69">
        <v>15.98</v>
      </c>
      <c r="I28" s="71">
        <v>15.74</v>
      </c>
    </row>
    <row r="29" spans="2:9" x14ac:dyDescent="0.3">
      <c r="B29" s="70">
        <v>30</v>
      </c>
      <c r="C29" s="72" t="s">
        <v>341</v>
      </c>
      <c r="D29" s="73" t="s">
        <v>383</v>
      </c>
      <c r="E29" s="69">
        <v>22.94</v>
      </c>
      <c r="F29" s="69">
        <v>23.34</v>
      </c>
      <c r="G29" s="69">
        <v>21.54</v>
      </c>
      <c r="H29" s="69">
        <v>23.02</v>
      </c>
      <c r="I29" s="71">
        <v>22.39</v>
      </c>
    </row>
    <row r="30" spans="2:9" x14ac:dyDescent="0.3">
      <c r="B30" s="70">
        <v>31</v>
      </c>
      <c r="C30" s="72" t="s">
        <v>341</v>
      </c>
      <c r="D30" s="73" t="s">
        <v>384</v>
      </c>
      <c r="E30" s="69">
        <v>33.49</v>
      </c>
      <c r="F30" s="69">
        <v>34.130000000000003</v>
      </c>
      <c r="G30" s="69">
        <v>35.28</v>
      </c>
      <c r="H30" s="69">
        <v>36.46</v>
      </c>
      <c r="I30" s="71">
        <v>34.47</v>
      </c>
    </row>
    <row r="31" spans="2:9" x14ac:dyDescent="0.3">
      <c r="B31" s="70">
        <v>32</v>
      </c>
      <c r="C31" s="72" t="s">
        <v>341</v>
      </c>
      <c r="D31" s="73" t="s">
        <v>385</v>
      </c>
      <c r="E31" s="69">
        <v>33.58</v>
      </c>
      <c r="F31" s="69">
        <v>34.82</v>
      </c>
      <c r="G31" s="69">
        <v>37.630000000000003</v>
      </c>
      <c r="H31" s="69">
        <v>35.979999999999997</v>
      </c>
      <c r="I31" s="71">
        <v>34.68</v>
      </c>
    </row>
    <row r="32" spans="2:9" x14ac:dyDescent="0.3">
      <c r="B32" s="70">
        <v>33</v>
      </c>
      <c r="C32" s="72" t="s">
        <v>341</v>
      </c>
      <c r="D32" s="73" t="s">
        <v>386</v>
      </c>
      <c r="E32" s="69">
        <v>42.42</v>
      </c>
      <c r="F32" s="69">
        <v>40.58</v>
      </c>
      <c r="G32" s="69">
        <v>43.63</v>
      </c>
      <c r="H32" s="69">
        <v>44.85</v>
      </c>
      <c r="I32" s="71">
        <v>46.74</v>
      </c>
    </row>
    <row r="33" spans="2:9" x14ac:dyDescent="0.3">
      <c r="B33" s="70">
        <v>35</v>
      </c>
      <c r="C33" s="72" t="s">
        <v>388</v>
      </c>
      <c r="D33" s="73" t="s">
        <v>387</v>
      </c>
      <c r="E33" s="69">
        <v>32.880000000000003</v>
      </c>
      <c r="F33" s="69">
        <v>32.630000000000003</v>
      </c>
      <c r="G33" s="69">
        <v>35.29</v>
      </c>
      <c r="H33" s="69">
        <v>38.340000000000003</v>
      </c>
      <c r="I33" s="71">
        <v>37.049999999999997</v>
      </c>
    </row>
    <row r="34" spans="2:9" x14ac:dyDescent="0.3">
      <c r="B34" s="70">
        <v>35</v>
      </c>
      <c r="C34" s="72" t="s">
        <v>342</v>
      </c>
      <c r="D34" s="73" t="s">
        <v>387</v>
      </c>
      <c r="E34" s="69">
        <v>32.880000000000003</v>
      </c>
      <c r="F34" s="69">
        <v>32.630000000000003</v>
      </c>
      <c r="G34" s="69">
        <v>35.29</v>
      </c>
      <c r="H34" s="69">
        <v>38.340000000000003</v>
      </c>
      <c r="I34" s="71">
        <v>37.049999999999997</v>
      </c>
    </row>
    <row r="35" spans="2:9" x14ac:dyDescent="0.3">
      <c r="B35" s="70">
        <v>36</v>
      </c>
      <c r="C35" s="72" t="s">
        <v>342</v>
      </c>
      <c r="D35" s="73" t="s">
        <v>389</v>
      </c>
      <c r="E35" s="69">
        <v>55</v>
      </c>
      <c r="F35" s="69">
        <v>53.01</v>
      </c>
      <c r="G35" s="69">
        <v>52.97</v>
      </c>
      <c r="H35" s="69">
        <v>50.26</v>
      </c>
      <c r="I35" s="71">
        <v>49.61</v>
      </c>
    </row>
    <row r="36" spans="2:9" x14ac:dyDescent="0.3">
      <c r="B36" s="70">
        <v>37</v>
      </c>
      <c r="C36" s="72" t="s">
        <v>342</v>
      </c>
      <c r="D36" s="73" t="s">
        <v>390</v>
      </c>
      <c r="E36" s="69">
        <v>52.33</v>
      </c>
      <c r="F36" s="69">
        <v>52.57</v>
      </c>
      <c r="G36" s="69">
        <v>54.81</v>
      </c>
      <c r="H36" s="69">
        <v>51.83</v>
      </c>
      <c r="I36" s="71">
        <v>52.82</v>
      </c>
    </row>
    <row r="37" spans="2:9" x14ac:dyDescent="0.3">
      <c r="B37" s="70">
        <v>38</v>
      </c>
      <c r="C37" s="72" t="s">
        <v>342</v>
      </c>
      <c r="D37" s="73" t="s">
        <v>391</v>
      </c>
      <c r="E37" s="69">
        <v>46.45</v>
      </c>
      <c r="F37" s="69">
        <v>44.97</v>
      </c>
      <c r="G37" s="69">
        <v>44.31</v>
      </c>
      <c r="H37" s="69">
        <v>45.05</v>
      </c>
      <c r="I37" s="71">
        <v>44.56</v>
      </c>
    </row>
    <row r="38" spans="2:9" x14ac:dyDescent="0.3">
      <c r="B38" s="70">
        <v>39</v>
      </c>
      <c r="C38" s="72" t="s">
        <v>342</v>
      </c>
      <c r="D38" s="73" t="s">
        <v>392</v>
      </c>
      <c r="E38" s="69">
        <v>42.57</v>
      </c>
      <c r="F38" s="69">
        <v>43.63</v>
      </c>
      <c r="G38" s="69">
        <v>38.61</v>
      </c>
      <c r="H38" s="69">
        <v>26.55</v>
      </c>
      <c r="I38" s="71">
        <v>26.81</v>
      </c>
    </row>
    <row r="39" spans="2:9" x14ac:dyDescent="0.3">
      <c r="B39" s="70">
        <v>41</v>
      </c>
      <c r="C39" s="72" t="s">
        <v>343</v>
      </c>
      <c r="D39" s="73" t="s">
        <v>393</v>
      </c>
      <c r="E39" s="69">
        <v>30.28</v>
      </c>
      <c r="F39" s="69">
        <v>30.38</v>
      </c>
      <c r="G39" s="69">
        <v>31.94</v>
      </c>
      <c r="H39" s="69">
        <v>31.45</v>
      </c>
      <c r="I39" s="71">
        <v>31.23</v>
      </c>
    </row>
    <row r="40" spans="2:9" x14ac:dyDescent="0.3">
      <c r="B40" s="70">
        <v>42</v>
      </c>
      <c r="C40" s="72" t="s">
        <v>343</v>
      </c>
      <c r="D40" s="73" t="s">
        <v>394</v>
      </c>
      <c r="E40" s="69">
        <v>25.67</v>
      </c>
      <c r="F40" s="69">
        <v>27.95</v>
      </c>
      <c r="G40" s="69">
        <v>26.76</v>
      </c>
      <c r="H40" s="69">
        <v>29.06</v>
      </c>
      <c r="I40" s="71">
        <v>27.26</v>
      </c>
    </row>
    <row r="41" spans="2:9" x14ac:dyDescent="0.3">
      <c r="B41" s="70">
        <v>43</v>
      </c>
      <c r="C41" s="72" t="s">
        <v>343</v>
      </c>
      <c r="D41" s="73" t="s">
        <v>395</v>
      </c>
      <c r="E41" s="69">
        <v>42.69</v>
      </c>
      <c r="F41" s="69">
        <v>42.65</v>
      </c>
      <c r="G41" s="69">
        <v>42.63</v>
      </c>
      <c r="H41" s="69">
        <v>42.74</v>
      </c>
      <c r="I41" s="71">
        <v>41.35</v>
      </c>
    </row>
    <row r="42" spans="2:9" x14ac:dyDescent="0.3">
      <c r="B42" s="70">
        <v>45</v>
      </c>
      <c r="C42" s="72" t="s">
        <v>344</v>
      </c>
      <c r="D42" s="73" t="s">
        <v>396</v>
      </c>
      <c r="E42" s="69">
        <v>52.25</v>
      </c>
      <c r="F42" s="69">
        <v>52.43</v>
      </c>
      <c r="G42" s="69">
        <v>52.12</v>
      </c>
      <c r="H42" s="69">
        <v>51.11</v>
      </c>
      <c r="I42" s="71">
        <v>51.75</v>
      </c>
    </row>
    <row r="43" spans="2:9" x14ac:dyDescent="0.3">
      <c r="B43" s="70">
        <v>46</v>
      </c>
      <c r="C43" s="72" t="s">
        <v>344</v>
      </c>
      <c r="D43" s="73" t="s">
        <v>397</v>
      </c>
      <c r="E43" s="69">
        <v>48.3</v>
      </c>
      <c r="F43" s="69">
        <v>48.37</v>
      </c>
      <c r="G43" s="69">
        <v>48.59</v>
      </c>
      <c r="H43" s="69">
        <v>48.89</v>
      </c>
      <c r="I43" s="71">
        <v>50.6</v>
      </c>
    </row>
    <row r="44" spans="2:9" x14ac:dyDescent="0.3">
      <c r="B44" s="70">
        <v>47</v>
      </c>
      <c r="C44" s="72" t="s">
        <v>344</v>
      </c>
      <c r="D44" s="73" t="s">
        <v>398</v>
      </c>
      <c r="E44" s="69">
        <v>55.11</v>
      </c>
      <c r="F44" s="69">
        <v>56</v>
      </c>
      <c r="G44" s="69">
        <v>55.35</v>
      </c>
      <c r="H44" s="69">
        <v>55.42</v>
      </c>
      <c r="I44" s="71">
        <v>55.39</v>
      </c>
    </row>
    <row r="45" spans="2:9" x14ac:dyDescent="0.3">
      <c r="B45" s="70">
        <v>49</v>
      </c>
      <c r="C45" s="72" t="s">
        <v>345</v>
      </c>
      <c r="D45" s="73" t="s">
        <v>399</v>
      </c>
      <c r="E45" s="69">
        <v>37.25</v>
      </c>
      <c r="F45" s="69">
        <v>36.18</v>
      </c>
      <c r="G45" s="69">
        <v>36.729999999999997</v>
      </c>
      <c r="H45" s="69">
        <v>38.22</v>
      </c>
      <c r="I45" s="71">
        <v>36.17</v>
      </c>
    </row>
    <row r="46" spans="2:9" x14ac:dyDescent="0.3">
      <c r="B46" s="70">
        <v>50</v>
      </c>
      <c r="C46" s="72" t="s">
        <v>345</v>
      </c>
      <c r="D46" s="73" t="s">
        <v>400</v>
      </c>
      <c r="E46" s="69">
        <v>22.5</v>
      </c>
      <c r="F46" s="69">
        <v>18.72</v>
      </c>
      <c r="G46" s="69">
        <v>18.62</v>
      </c>
      <c r="H46" s="69">
        <v>16.350000000000001</v>
      </c>
      <c r="I46" s="71">
        <v>18.78</v>
      </c>
    </row>
    <row r="47" spans="2:9" x14ac:dyDescent="0.3">
      <c r="B47" s="70">
        <v>51</v>
      </c>
      <c r="C47" s="72" t="s">
        <v>345</v>
      </c>
      <c r="D47" s="73" t="s">
        <v>401</v>
      </c>
      <c r="E47" s="69">
        <v>23.1</v>
      </c>
      <c r="F47" s="69">
        <v>22.09</v>
      </c>
      <c r="G47" s="69">
        <v>18.71</v>
      </c>
      <c r="H47" s="69">
        <v>-16.98</v>
      </c>
      <c r="I47" s="71">
        <v>7.52</v>
      </c>
    </row>
    <row r="48" spans="2:9" x14ac:dyDescent="0.3">
      <c r="B48" s="70">
        <v>52</v>
      </c>
      <c r="C48" s="72" t="s">
        <v>345</v>
      </c>
      <c r="D48" s="73" t="s">
        <v>402</v>
      </c>
      <c r="E48" s="69">
        <v>38.380000000000003</v>
      </c>
      <c r="F48" s="69">
        <v>38.590000000000003</v>
      </c>
      <c r="G48" s="69">
        <v>39.17</v>
      </c>
      <c r="H48" s="69">
        <v>36.909999999999997</v>
      </c>
      <c r="I48" s="71">
        <v>34.979999999999997</v>
      </c>
    </row>
    <row r="49" spans="2:9" x14ac:dyDescent="0.3">
      <c r="B49" s="70">
        <v>53</v>
      </c>
      <c r="C49" s="72" t="s">
        <v>345</v>
      </c>
      <c r="D49" s="73" t="s">
        <v>403</v>
      </c>
      <c r="E49" s="69">
        <v>49.5</v>
      </c>
      <c r="F49" s="69">
        <v>51.06</v>
      </c>
      <c r="G49" s="69">
        <v>44.22</v>
      </c>
      <c r="H49" s="69">
        <v>41.65</v>
      </c>
      <c r="I49" s="71">
        <v>38.229999999999997</v>
      </c>
    </row>
    <row r="50" spans="2:9" x14ac:dyDescent="0.3">
      <c r="B50" s="70">
        <v>55</v>
      </c>
      <c r="C50" s="72" t="s">
        <v>346</v>
      </c>
      <c r="D50" s="73" t="s">
        <v>404</v>
      </c>
      <c r="E50" s="69">
        <v>51.17</v>
      </c>
      <c r="F50" s="69">
        <v>50.54</v>
      </c>
      <c r="G50" s="69">
        <v>49.76</v>
      </c>
      <c r="H50" s="69">
        <v>31.37</v>
      </c>
      <c r="I50" s="71">
        <v>43.09</v>
      </c>
    </row>
    <row r="51" spans="2:9" x14ac:dyDescent="0.3">
      <c r="B51" s="70">
        <v>56</v>
      </c>
      <c r="C51" s="72" t="s">
        <v>346</v>
      </c>
      <c r="D51" s="73" t="s">
        <v>405</v>
      </c>
      <c r="E51" s="69">
        <v>42.11</v>
      </c>
      <c r="F51" s="69">
        <v>42.34</v>
      </c>
      <c r="G51" s="69">
        <v>42.62</v>
      </c>
      <c r="H51" s="69">
        <v>37.11</v>
      </c>
      <c r="I51" s="71">
        <v>39.29</v>
      </c>
    </row>
    <row r="52" spans="2:9" x14ac:dyDescent="0.3">
      <c r="B52" s="70">
        <v>58</v>
      </c>
      <c r="C52" s="72" t="s">
        <v>347</v>
      </c>
      <c r="D52" s="73" t="s">
        <v>406</v>
      </c>
      <c r="E52" s="69">
        <v>41.17</v>
      </c>
      <c r="F52" s="69">
        <v>40.53</v>
      </c>
      <c r="G52" s="69">
        <v>43.42</v>
      </c>
      <c r="H52" s="69">
        <v>49.76</v>
      </c>
      <c r="I52" s="71">
        <v>43.85</v>
      </c>
    </row>
    <row r="53" spans="2:9" x14ac:dyDescent="0.3">
      <c r="B53" s="70">
        <v>59</v>
      </c>
      <c r="C53" s="72" t="s">
        <v>347</v>
      </c>
      <c r="D53" s="73" t="s">
        <v>407</v>
      </c>
      <c r="E53" s="69">
        <v>30.9</v>
      </c>
      <c r="F53" s="69">
        <v>32.01</v>
      </c>
      <c r="G53" s="69">
        <v>31.38</v>
      </c>
      <c r="H53" s="69">
        <v>33.840000000000003</v>
      </c>
      <c r="I53" s="71">
        <v>32.729999999999997</v>
      </c>
    </row>
    <row r="54" spans="2:9" x14ac:dyDescent="0.3">
      <c r="B54" s="70">
        <v>60</v>
      </c>
      <c r="C54" s="72" t="s">
        <v>347</v>
      </c>
      <c r="D54" s="73" t="s">
        <v>408</v>
      </c>
      <c r="E54" s="69">
        <v>44.56</v>
      </c>
      <c r="F54" s="69">
        <v>43.59</v>
      </c>
      <c r="G54" s="69">
        <v>43.94</v>
      </c>
      <c r="H54" s="69">
        <v>45.36</v>
      </c>
      <c r="I54" s="71">
        <v>43.62</v>
      </c>
    </row>
    <row r="55" spans="2:9" x14ac:dyDescent="0.3">
      <c r="B55" s="70">
        <v>61</v>
      </c>
      <c r="C55" s="72" t="s">
        <v>347</v>
      </c>
      <c r="D55" s="73" t="s">
        <v>409</v>
      </c>
      <c r="E55" s="69">
        <v>43.73</v>
      </c>
      <c r="F55" s="69">
        <v>43.91</v>
      </c>
      <c r="G55" s="69">
        <v>45.47</v>
      </c>
      <c r="H55" s="69">
        <v>43.22</v>
      </c>
      <c r="I55" s="71">
        <v>42.92</v>
      </c>
    </row>
    <row r="56" spans="2:9" x14ac:dyDescent="0.3">
      <c r="B56" s="70">
        <v>62</v>
      </c>
      <c r="C56" s="72" t="s">
        <v>347</v>
      </c>
      <c r="D56" s="73" t="s">
        <v>410</v>
      </c>
      <c r="E56" s="69">
        <v>56.03</v>
      </c>
      <c r="F56" s="69">
        <v>56.71</v>
      </c>
      <c r="G56" s="69">
        <v>57.96</v>
      </c>
      <c r="H56" s="69">
        <v>60.03</v>
      </c>
      <c r="I56" s="71">
        <v>59.3</v>
      </c>
    </row>
    <row r="57" spans="2:9" x14ac:dyDescent="0.3">
      <c r="B57" s="70">
        <v>63</v>
      </c>
      <c r="C57" s="72" t="s">
        <v>347</v>
      </c>
      <c r="D57" s="73" t="s">
        <v>411</v>
      </c>
      <c r="E57" s="69">
        <v>53.25</v>
      </c>
      <c r="F57" s="69">
        <v>54.19</v>
      </c>
      <c r="G57" s="69">
        <v>54.84</v>
      </c>
      <c r="H57" s="69">
        <v>57.88</v>
      </c>
      <c r="I57" s="71">
        <v>56.78</v>
      </c>
    </row>
    <row r="58" spans="2:9" x14ac:dyDescent="0.3">
      <c r="B58" s="70">
        <v>68</v>
      </c>
      <c r="C58" s="72" t="s">
        <v>413</v>
      </c>
      <c r="D58" s="73" t="s">
        <v>412</v>
      </c>
      <c r="E58" s="69">
        <v>44.82</v>
      </c>
      <c r="F58" s="69">
        <v>44.25</v>
      </c>
      <c r="G58" s="69">
        <v>44.87</v>
      </c>
      <c r="H58" s="69">
        <v>42.66</v>
      </c>
      <c r="I58" s="71">
        <v>42.21</v>
      </c>
    </row>
    <row r="59" spans="2:9" x14ac:dyDescent="0.3">
      <c r="B59" s="70">
        <v>69</v>
      </c>
      <c r="C59" s="72" t="s">
        <v>348</v>
      </c>
      <c r="D59" s="73" t="s">
        <v>414</v>
      </c>
      <c r="E59" s="69">
        <v>63.5</v>
      </c>
      <c r="F59" s="69">
        <v>64.12</v>
      </c>
      <c r="G59" s="69">
        <v>63.26</v>
      </c>
      <c r="H59" s="69">
        <v>65.63</v>
      </c>
      <c r="I59" s="71">
        <v>65.760000000000005</v>
      </c>
    </row>
    <row r="60" spans="2:9" x14ac:dyDescent="0.3">
      <c r="B60" s="70">
        <v>70</v>
      </c>
      <c r="C60" s="72" t="s">
        <v>348</v>
      </c>
      <c r="D60" s="73" t="s">
        <v>415</v>
      </c>
      <c r="E60" s="69">
        <v>47.05</v>
      </c>
      <c r="F60" s="69">
        <v>48.56</v>
      </c>
      <c r="G60" s="69">
        <v>48.95</v>
      </c>
      <c r="H60" s="69">
        <v>52.75</v>
      </c>
      <c r="I60" s="71">
        <v>50.73</v>
      </c>
    </row>
    <row r="61" spans="2:9" x14ac:dyDescent="0.3">
      <c r="B61" s="70">
        <v>71</v>
      </c>
      <c r="C61" s="72" t="s">
        <v>348</v>
      </c>
      <c r="D61" s="73" t="s">
        <v>416</v>
      </c>
      <c r="E61" s="69">
        <v>45.52</v>
      </c>
      <c r="F61" s="69">
        <v>45.79</v>
      </c>
      <c r="G61" s="69">
        <v>47.46</v>
      </c>
      <c r="H61" s="69">
        <v>49.04</v>
      </c>
      <c r="I61" s="71">
        <v>48.55</v>
      </c>
    </row>
    <row r="62" spans="2:9" x14ac:dyDescent="0.3">
      <c r="B62" s="70">
        <v>72</v>
      </c>
      <c r="C62" s="72" t="s">
        <v>348</v>
      </c>
      <c r="D62" s="73" t="s">
        <v>417</v>
      </c>
      <c r="E62" s="69">
        <v>40.67</v>
      </c>
      <c r="F62" s="69">
        <v>48.03</v>
      </c>
      <c r="G62" s="69">
        <v>48.57</v>
      </c>
      <c r="H62" s="69">
        <v>51.9</v>
      </c>
      <c r="I62" s="71">
        <v>44.47</v>
      </c>
    </row>
    <row r="63" spans="2:9" x14ac:dyDescent="0.3">
      <c r="B63" s="70">
        <v>73</v>
      </c>
      <c r="C63" s="72" t="s">
        <v>348</v>
      </c>
      <c r="D63" s="73" t="s">
        <v>418</v>
      </c>
      <c r="E63" s="69">
        <v>24.33</v>
      </c>
      <c r="F63" s="69">
        <v>25.51</v>
      </c>
      <c r="G63" s="69">
        <v>25.76</v>
      </c>
      <c r="H63" s="69">
        <v>27.48</v>
      </c>
      <c r="I63" s="71">
        <v>27.34</v>
      </c>
    </row>
    <row r="64" spans="2:9" x14ac:dyDescent="0.3">
      <c r="B64" s="70">
        <v>74</v>
      </c>
      <c r="C64" s="72" t="s">
        <v>348</v>
      </c>
      <c r="D64" s="73" t="s">
        <v>419</v>
      </c>
      <c r="E64" s="69">
        <v>45.99</v>
      </c>
      <c r="F64" s="69">
        <v>47.68</v>
      </c>
      <c r="G64" s="69">
        <v>48.22</v>
      </c>
      <c r="H64" s="69">
        <v>50.5</v>
      </c>
      <c r="I64" s="71">
        <v>51.13</v>
      </c>
    </row>
    <row r="65" spans="2:9" x14ac:dyDescent="0.3">
      <c r="B65" s="70">
        <v>75</v>
      </c>
      <c r="C65" s="72" t="s">
        <v>348</v>
      </c>
      <c r="D65" s="73" t="s">
        <v>420</v>
      </c>
      <c r="E65" s="69">
        <v>60.13</v>
      </c>
      <c r="F65" s="69">
        <v>61.22</v>
      </c>
      <c r="G65" s="69">
        <v>62.42</v>
      </c>
      <c r="H65" s="69">
        <v>64.010000000000005</v>
      </c>
      <c r="I65" s="71">
        <v>63.74</v>
      </c>
    </row>
    <row r="66" spans="2:9" x14ac:dyDescent="0.3">
      <c r="B66" s="70">
        <v>77</v>
      </c>
      <c r="C66" s="72" t="s">
        <v>349</v>
      </c>
      <c r="D66" s="73" t="s">
        <v>421</v>
      </c>
      <c r="E66" s="69">
        <v>53.72</v>
      </c>
      <c r="F66" s="69">
        <v>53.94</v>
      </c>
      <c r="G66" s="69">
        <v>48.99</v>
      </c>
      <c r="H66" s="69">
        <v>51.41</v>
      </c>
      <c r="I66" s="71">
        <v>52.91</v>
      </c>
    </row>
    <row r="67" spans="2:9" x14ac:dyDescent="0.3">
      <c r="B67" s="70">
        <v>78</v>
      </c>
      <c r="C67" s="72" t="s">
        <v>349</v>
      </c>
      <c r="D67" s="73" t="s">
        <v>422</v>
      </c>
      <c r="E67" s="69">
        <v>90.01</v>
      </c>
      <c r="F67" s="69">
        <v>90.52</v>
      </c>
      <c r="G67" s="69">
        <v>89.91</v>
      </c>
      <c r="H67" s="69">
        <v>89.13</v>
      </c>
      <c r="I67" s="71">
        <v>89.88</v>
      </c>
    </row>
    <row r="68" spans="2:9" x14ac:dyDescent="0.3">
      <c r="B68" s="70">
        <v>79</v>
      </c>
      <c r="C68" s="72" t="s">
        <v>349</v>
      </c>
      <c r="D68" s="73" t="s">
        <v>423</v>
      </c>
      <c r="E68" s="69">
        <v>13.22</v>
      </c>
      <c r="F68" s="69">
        <v>13.33</v>
      </c>
      <c r="G68" s="69">
        <v>12.95</v>
      </c>
      <c r="H68" s="69">
        <v>9.8699999999999992</v>
      </c>
      <c r="I68" s="71">
        <v>12.44</v>
      </c>
    </row>
    <row r="69" spans="2:9" x14ac:dyDescent="0.3">
      <c r="B69" s="70">
        <v>80</v>
      </c>
      <c r="C69" s="72" t="s">
        <v>349</v>
      </c>
      <c r="D69" s="73" t="s">
        <v>424</v>
      </c>
      <c r="E69" s="69">
        <v>77.790000000000006</v>
      </c>
      <c r="F69" s="69">
        <v>77.069999999999993</v>
      </c>
      <c r="G69" s="69">
        <v>77.78</v>
      </c>
      <c r="H69" s="69">
        <v>81.16</v>
      </c>
      <c r="I69" s="71">
        <v>80.099999999999994</v>
      </c>
    </row>
    <row r="70" spans="2:9" x14ac:dyDescent="0.3">
      <c r="B70" s="70">
        <v>81</v>
      </c>
      <c r="C70" s="72" t="s">
        <v>349</v>
      </c>
      <c r="D70" s="73" t="s">
        <v>425</v>
      </c>
      <c r="E70" s="69">
        <v>66.41</v>
      </c>
      <c r="F70" s="69">
        <v>66.39</v>
      </c>
      <c r="G70" s="69">
        <v>66.84</v>
      </c>
      <c r="H70" s="69">
        <v>66.349999999999994</v>
      </c>
      <c r="I70" s="71">
        <v>66.430000000000007</v>
      </c>
    </row>
    <row r="71" spans="2:9" x14ac:dyDescent="0.3">
      <c r="B71" s="70">
        <v>82</v>
      </c>
      <c r="C71" s="72" t="s">
        <v>349</v>
      </c>
      <c r="D71" s="73" t="s">
        <v>426</v>
      </c>
      <c r="E71" s="69">
        <v>56.06</v>
      </c>
      <c r="F71" s="69">
        <v>56.33</v>
      </c>
      <c r="G71" s="69">
        <v>55.26</v>
      </c>
      <c r="H71" s="69">
        <v>58.87</v>
      </c>
      <c r="I71" s="71">
        <v>59.69</v>
      </c>
    </row>
    <row r="72" spans="2:9" x14ac:dyDescent="0.3">
      <c r="B72" s="70">
        <v>85</v>
      </c>
      <c r="C72" s="72" t="s">
        <v>428</v>
      </c>
      <c r="D72" s="73" t="s">
        <v>427</v>
      </c>
      <c r="E72" s="69">
        <v>57.99</v>
      </c>
      <c r="F72" s="69">
        <v>57.21</v>
      </c>
      <c r="G72" s="69">
        <v>57.01</v>
      </c>
      <c r="H72" s="69">
        <v>58.94</v>
      </c>
      <c r="I72" s="71">
        <v>58.5</v>
      </c>
    </row>
    <row r="73" spans="2:9" x14ac:dyDescent="0.3">
      <c r="B73" s="70">
        <v>86</v>
      </c>
      <c r="C73" s="72" t="s">
        <v>350</v>
      </c>
      <c r="D73" s="73" t="s">
        <v>429</v>
      </c>
      <c r="E73" s="69">
        <v>47.07</v>
      </c>
      <c r="F73" s="69">
        <v>46.58</v>
      </c>
      <c r="G73" s="69">
        <v>46.59</v>
      </c>
      <c r="H73" s="69">
        <v>45.22</v>
      </c>
      <c r="I73" s="71">
        <v>47.09</v>
      </c>
    </row>
    <row r="74" spans="2:9" x14ac:dyDescent="0.3">
      <c r="B74" s="70">
        <v>87</v>
      </c>
      <c r="C74" s="72" t="s">
        <v>350</v>
      </c>
      <c r="D74" s="73" t="s">
        <v>430</v>
      </c>
      <c r="E74" s="69">
        <v>57.17</v>
      </c>
      <c r="F74" s="69">
        <v>58.88</v>
      </c>
      <c r="G74" s="69">
        <v>58.89</v>
      </c>
      <c r="H74" s="69">
        <v>57.65</v>
      </c>
      <c r="I74" s="71">
        <v>58.17</v>
      </c>
    </row>
    <row r="75" spans="2:9" x14ac:dyDescent="0.3">
      <c r="B75" s="70">
        <v>88</v>
      </c>
      <c r="C75" s="72" t="s">
        <v>350</v>
      </c>
      <c r="D75" s="73" t="s">
        <v>431</v>
      </c>
      <c r="E75" s="69">
        <v>44.06</v>
      </c>
      <c r="F75" s="69">
        <v>45.4</v>
      </c>
      <c r="G75" s="69">
        <v>45.65</v>
      </c>
      <c r="H75" s="69">
        <v>44.71</v>
      </c>
      <c r="I75" s="71">
        <v>44.01</v>
      </c>
    </row>
    <row r="76" spans="2:9" x14ac:dyDescent="0.3">
      <c r="B76" s="70">
        <v>90</v>
      </c>
      <c r="C76" s="72" t="s">
        <v>351</v>
      </c>
      <c r="D76" s="73" t="s">
        <v>432</v>
      </c>
      <c r="E76" s="69">
        <v>43.24</v>
      </c>
      <c r="F76" s="69">
        <v>41.45</v>
      </c>
      <c r="G76" s="69">
        <v>42.15</v>
      </c>
      <c r="H76" s="69">
        <v>43.12</v>
      </c>
      <c r="I76" s="71">
        <v>50.44</v>
      </c>
    </row>
    <row r="77" spans="2:9" x14ac:dyDescent="0.3">
      <c r="B77" s="70">
        <v>91</v>
      </c>
      <c r="C77" s="72" t="s">
        <v>351</v>
      </c>
      <c r="D77" s="73" t="s">
        <v>433</v>
      </c>
      <c r="E77" s="69">
        <v>49.01</v>
      </c>
      <c r="F77" s="69">
        <v>49.25</v>
      </c>
      <c r="G77" s="69">
        <v>53.91</v>
      </c>
      <c r="H77" s="69">
        <v>22.22</v>
      </c>
      <c r="I77" s="71">
        <v>41.6</v>
      </c>
    </row>
    <row r="78" spans="2:9" x14ac:dyDescent="0.3">
      <c r="B78" s="70">
        <v>92</v>
      </c>
      <c r="C78" s="72" t="s">
        <v>351</v>
      </c>
      <c r="D78" s="73" t="s">
        <v>434</v>
      </c>
      <c r="E78" s="69">
        <v>66.2</v>
      </c>
      <c r="F78" s="69">
        <v>63.23</v>
      </c>
      <c r="G78" s="69">
        <v>62.55</v>
      </c>
      <c r="H78" s="69">
        <v>64.62</v>
      </c>
      <c r="I78" s="71">
        <v>61.04</v>
      </c>
    </row>
    <row r="79" spans="2:9" x14ac:dyDescent="0.3">
      <c r="B79" s="70">
        <v>93</v>
      </c>
      <c r="C79" s="72" t="s">
        <v>351</v>
      </c>
      <c r="D79" s="73" t="s">
        <v>435</v>
      </c>
      <c r="E79" s="69">
        <v>51.92</v>
      </c>
      <c r="F79" s="69">
        <v>50.64</v>
      </c>
      <c r="G79" s="69">
        <v>48.11</v>
      </c>
      <c r="H79" s="69">
        <v>39.700000000000003</v>
      </c>
      <c r="I79" s="71">
        <v>45.99</v>
      </c>
    </row>
    <row r="80" spans="2:9" x14ac:dyDescent="0.3">
      <c r="B80" s="70">
        <v>94</v>
      </c>
      <c r="C80" s="72" t="s">
        <v>352</v>
      </c>
      <c r="D80" s="73" t="s">
        <v>436</v>
      </c>
      <c r="E80" s="69">
        <v>6.01</v>
      </c>
      <c r="F80" s="69">
        <v>3.07</v>
      </c>
      <c r="G80" s="69">
        <v>3.58</v>
      </c>
      <c r="H80" s="69">
        <v>6.11</v>
      </c>
      <c r="I80" s="71">
        <v>2.4300000000000002</v>
      </c>
    </row>
    <row r="81" spans="2:9" x14ac:dyDescent="0.3">
      <c r="B81" s="70">
        <v>95</v>
      </c>
      <c r="C81" s="72" t="s">
        <v>352</v>
      </c>
      <c r="D81" s="73" t="s">
        <v>437</v>
      </c>
      <c r="E81" s="69">
        <v>52.95</v>
      </c>
      <c r="F81" s="69">
        <v>53.92</v>
      </c>
      <c r="G81" s="69">
        <v>56.94</v>
      </c>
      <c r="H81" s="69">
        <v>54.85</v>
      </c>
      <c r="I81" s="71">
        <v>52.55</v>
      </c>
    </row>
    <row r="82" spans="2:9" x14ac:dyDescent="0.3">
      <c r="B82" s="70">
        <v>96</v>
      </c>
      <c r="C82" s="72" t="s">
        <v>352</v>
      </c>
      <c r="D82" s="73" t="s">
        <v>438</v>
      </c>
      <c r="E82" s="69">
        <v>57.31</v>
      </c>
      <c r="F82" s="69">
        <v>57.71</v>
      </c>
      <c r="G82" s="69">
        <v>57.76</v>
      </c>
      <c r="H82" s="69">
        <v>55.66</v>
      </c>
      <c r="I82" s="71">
        <v>54.25</v>
      </c>
    </row>
    <row r="83" spans="2:9" x14ac:dyDescent="0.3">
      <c r="B83" s="70" t="s">
        <v>339</v>
      </c>
      <c r="C83" s="72" t="s">
        <v>339</v>
      </c>
      <c r="D83" s="73" t="s">
        <v>439</v>
      </c>
      <c r="E83" s="69">
        <v>28.57</v>
      </c>
      <c r="F83" s="69">
        <v>28.21</v>
      </c>
      <c r="G83" s="69">
        <v>28.95</v>
      </c>
      <c r="H83" s="69">
        <v>28.98</v>
      </c>
      <c r="I83" s="71">
        <v>28.16</v>
      </c>
    </row>
    <row r="84" spans="2:9" x14ac:dyDescent="0.3">
      <c r="B84" s="70" t="s">
        <v>340</v>
      </c>
      <c r="C84" s="72" t="s">
        <v>340</v>
      </c>
      <c r="D84" s="73" t="s">
        <v>440</v>
      </c>
      <c r="E84" s="69">
        <v>42.6</v>
      </c>
      <c r="F84" s="69">
        <v>41.03</v>
      </c>
      <c r="G84" s="69">
        <v>39.64</v>
      </c>
      <c r="H84" s="69">
        <v>37.880000000000003</v>
      </c>
      <c r="I84" s="71">
        <v>44.75</v>
      </c>
    </row>
    <row r="85" spans="2:9" x14ac:dyDescent="0.3">
      <c r="B85" s="70" t="s">
        <v>341</v>
      </c>
      <c r="C85" s="72" t="s">
        <v>341</v>
      </c>
      <c r="D85" s="73" t="s">
        <v>441</v>
      </c>
      <c r="E85" s="69">
        <v>25.39</v>
      </c>
      <c r="F85" s="69">
        <v>24.67</v>
      </c>
      <c r="G85" s="69">
        <v>24.51</v>
      </c>
      <c r="H85" s="69">
        <v>25.83</v>
      </c>
      <c r="I85" s="71">
        <v>25.27</v>
      </c>
    </row>
    <row r="86" spans="2:9" x14ac:dyDescent="0.3">
      <c r="B86" s="70" t="s">
        <v>342</v>
      </c>
      <c r="C86" s="72" t="s">
        <v>342</v>
      </c>
      <c r="D86" s="73" t="s">
        <v>442</v>
      </c>
      <c r="E86" s="69">
        <v>36.36</v>
      </c>
      <c r="F86" s="69">
        <v>35.53</v>
      </c>
      <c r="G86" s="69">
        <v>33.26</v>
      </c>
      <c r="H86" s="69">
        <v>38.729999999999997</v>
      </c>
      <c r="I86" s="71">
        <v>38.619999999999997</v>
      </c>
    </row>
    <row r="87" spans="2:9" x14ac:dyDescent="0.3">
      <c r="B87" s="70" t="s">
        <v>343</v>
      </c>
      <c r="C87" s="72" t="s">
        <v>343</v>
      </c>
      <c r="D87" s="73" t="s">
        <v>443</v>
      </c>
      <c r="E87" s="69">
        <v>32.590000000000003</v>
      </c>
      <c r="F87" s="69">
        <v>33.29</v>
      </c>
      <c r="G87" s="69">
        <v>33.68</v>
      </c>
      <c r="H87" s="69">
        <v>34.090000000000003</v>
      </c>
      <c r="I87" s="71">
        <v>33.130000000000003</v>
      </c>
    </row>
    <row r="88" spans="2:9" x14ac:dyDescent="0.3">
      <c r="B88" s="70" t="s">
        <v>344</v>
      </c>
      <c r="C88" s="72" t="s">
        <v>344</v>
      </c>
      <c r="D88" s="73" t="s">
        <v>444</v>
      </c>
      <c r="E88" s="69">
        <v>51.5</v>
      </c>
      <c r="F88" s="69">
        <v>51.9</v>
      </c>
      <c r="G88" s="69">
        <v>51.75</v>
      </c>
      <c r="H88" s="69">
        <v>51.76</v>
      </c>
      <c r="I88" s="71">
        <v>52.62</v>
      </c>
    </row>
    <row r="89" spans="2:9" x14ac:dyDescent="0.3">
      <c r="B89" s="70" t="s">
        <v>345</v>
      </c>
      <c r="C89" s="72" t="s">
        <v>345</v>
      </c>
      <c r="D89" s="73" t="s">
        <v>445</v>
      </c>
      <c r="E89" s="69">
        <v>34.85</v>
      </c>
      <c r="F89" s="69">
        <v>34.21</v>
      </c>
      <c r="G89" s="69">
        <v>33.590000000000003</v>
      </c>
      <c r="H89" s="69">
        <v>30.54</v>
      </c>
      <c r="I89" s="71">
        <v>31.55</v>
      </c>
    </row>
    <row r="90" spans="2:9" x14ac:dyDescent="0.3">
      <c r="B90" s="70" t="s">
        <v>346</v>
      </c>
      <c r="C90" s="72" t="s">
        <v>346</v>
      </c>
      <c r="D90" s="73" t="s">
        <v>446</v>
      </c>
      <c r="E90" s="69">
        <v>45.44</v>
      </c>
      <c r="F90" s="69">
        <v>45.36</v>
      </c>
      <c r="G90" s="69">
        <v>45.25</v>
      </c>
      <c r="H90" s="69">
        <v>35.51</v>
      </c>
      <c r="I90" s="71">
        <v>40.53</v>
      </c>
    </row>
    <row r="91" spans="2:9" x14ac:dyDescent="0.3">
      <c r="B91" s="70" t="s">
        <v>347</v>
      </c>
      <c r="C91" s="72" t="s">
        <v>347</v>
      </c>
      <c r="D91" s="73" t="s">
        <v>447</v>
      </c>
      <c r="E91" s="69">
        <v>46.98</v>
      </c>
      <c r="F91" s="69">
        <v>47.66</v>
      </c>
      <c r="G91" s="69">
        <v>49.41</v>
      </c>
      <c r="H91" s="69">
        <v>50.64</v>
      </c>
      <c r="I91" s="71">
        <v>50.02</v>
      </c>
    </row>
    <row r="92" spans="2:9" x14ac:dyDescent="0.3">
      <c r="B92" s="70" t="s">
        <v>348</v>
      </c>
      <c r="C92" s="72" t="s">
        <v>348</v>
      </c>
      <c r="D92" s="73" t="s">
        <v>448</v>
      </c>
      <c r="E92" s="69">
        <v>47.36</v>
      </c>
      <c r="F92" s="69">
        <v>48.56</v>
      </c>
      <c r="G92" s="69">
        <v>49.01</v>
      </c>
      <c r="H92" s="69">
        <v>52.05</v>
      </c>
      <c r="I92" s="71">
        <v>50.97</v>
      </c>
    </row>
    <row r="93" spans="2:9" x14ac:dyDescent="0.3">
      <c r="B93" s="70" t="s">
        <v>349</v>
      </c>
      <c r="C93" s="72" t="s">
        <v>349</v>
      </c>
      <c r="D93" s="73" t="s">
        <v>449</v>
      </c>
      <c r="E93" s="69">
        <v>53.77</v>
      </c>
      <c r="F93" s="69">
        <v>53.96</v>
      </c>
      <c r="G93" s="69">
        <v>52.42</v>
      </c>
      <c r="H93" s="69">
        <v>61.59</v>
      </c>
      <c r="I93" s="71">
        <v>61.22</v>
      </c>
    </row>
    <row r="94" spans="2:9" x14ac:dyDescent="0.3">
      <c r="B94" s="70" t="s">
        <v>350</v>
      </c>
      <c r="C94" s="72" t="s">
        <v>350</v>
      </c>
      <c r="D94" s="73" t="s">
        <v>450</v>
      </c>
      <c r="E94" s="69">
        <v>47.52</v>
      </c>
      <c r="F94" s="69">
        <v>47.19</v>
      </c>
      <c r="G94" s="69">
        <v>47.22</v>
      </c>
      <c r="H94" s="69">
        <v>45.98</v>
      </c>
      <c r="I94" s="71">
        <v>47.6</v>
      </c>
    </row>
    <row r="95" spans="2:9" x14ac:dyDescent="0.3">
      <c r="B95" s="70" t="s">
        <v>351</v>
      </c>
      <c r="C95" s="72" t="s">
        <v>351</v>
      </c>
      <c r="D95" s="72" t="s">
        <v>451</v>
      </c>
      <c r="E95" s="71">
        <v>52.93</v>
      </c>
      <c r="F95" s="71">
        <v>51.25</v>
      </c>
      <c r="G95" s="71">
        <v>49.99</v>
      </c>
      <c r="H95" s="71">
        <v>45.92</v>
      </c>
      <c r="I95" s="71">
        <v>50.03</v>
      </c>
    </row>
    <row r="96" spans="2:9" x14ac:dyDescent="0.3">
      <c r="B96" s="70" t="s">
        <v>352</v>
      </c>
      <c r="C96" s="72" t="s">
        <v>352</v>
      </c>
      <c r="D96" s="72" t="s">
        <v>452</v>
      </c>
      <c r="E96" s="71">
        <v>47.65</v>
      </c>
      <c r="F96" s="71">
        <v>48.09</v>
      </c>
      <c r="G96" s="71">
        <v>48.97</v>
      </c>
      <c r="H96" s="71">
        <v>48.03</v>
      </c>
      <c r="I96" s="71">
        <v>45.36</v>
      </c>
    </row>
    <row r="97" spans="2:9" x14ac:dyDescent="0.3">
      <c r="B97" s="70" t="s">
        <v>354</v>
      </c>
      <c r="C97" s="72" t="s">
        <v>354</v>
      </c>
      <c r="D97" s="72" t="s">
        <v>453</v>
      </c>
      <c r="E97" s="71">
        <v>37.29</v>
      </c>
      <c r="F97" s="71">
        <v>37.14</v>
      </c>
      <c r="G97" s="71">
        <v>37.380000000000003</v>
      </c>
      <c r="H97" s="71">
        <v>38.03</v>
      </c>
      <c r="I97" s="71">
        <v>37.81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0981-E780-4B67-BF89-0779AFB88704}">
  <sheetPr codeName="Sheet1"/>
  <dimension ref="A1"/>
  <sheetViews>
    <sheetView zoomScale="85" zoomScaleNormal="85" workbookViewId="0">
      <selection activeCell="S5" sqref="S5"/>
    </sheetView>
  </sheetViews>
  <sheetFormatPr defaultRowHeight="14.4" x14ac:dyDescent="0.3"/>
  <cols>
    <col min="1" max="1" width="10.88671875" customWidth="1"/>
    <col min="8" max="9" width="8.88671875" customWidth="1"/>
    <col min="15" max="15" width="8.88671875" customWidth="1"/>
  </cols>
  <sheetData/>
  <dataValidations disablePrompts="1" count="1">
    <dataValidation type="list" allowBlank="1" showInputMessage="1" showErrorMessage="1" sqref="L40" xr:uid="{320463A2-FB5A-47B8-B27D-D1BFD99CF6DA}">
      <formula1>$D$28:$D$32</formula1>
    </dataValidation>
  </dataValidations>
  <pageMargins left="0.23622047244094491" right="0.23958333333333334" top="0.74803149606299213" bottom="0.74803149606299213" header="0.31496062992125984" footer="0.31496062992125984"/>
  <pageSetup paperSize="9" orientation="landscape" r:id="rId1"/>
  <headerFooter scaleWithDoc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FD0F2-F1FC-4AAB-BA4B-0F3F1A0AD5EC}">
  <sheetPr codeName="Sheet2"/>
  <dimension ref="C3:AB49"/>
  <sheetViews>
    <sheetView workbookViewId="0">
      <selection activeCell="E40" sqref="E40"/>
    </sheetView>
  </sheetViews>
  <sheetFormatPr defaultRowHeight="14.4" x14ac:dyDescent="0.3"/>
  <cols>
    <col min="3" max="3" width="21.6640625" customWidth="1"/>
    <col min="4" max="4" width="30.33203125" customWidth="1"/>
    <col min="5" max="5" width="25.5546875" customWidth="1"/>
    <col min="6" max="6" width="19.88671875" customWidth="1"/>
    <col min="7" max="7" width="13.6640625" customWidth="1"/>
    <col min="10" max="10" width="13.6640625" customWidth="1"/>
    <col min="11" max="11" width="30.109375" customWidth="1"/>
    <col min="14" max="14" width="22.33203125" customWidth="1"/>
    <col min="15" max="15" width="19.33203125" customWidth="1"/>
    <col min="23" max="23" width="17.33203125" customWidth="1"/>
  </cols>
  <sheetData>
    <row r="3" spans="3:18" ht="15" thickBot="1" x14ac:dyDescent="0.35"/>
    <row r="4" spans="3:18" x14ac:dyDescent="0.3">
      <c r="C4" s="44"/>
      <c r="D4" s="45"/>
      <c r="E4" s="45"/>
      <c r="F4" s="45"/>
      <c r="G4" s="45"/>
      <c r="H4" s="45"/>
      <c r="I4" s="45"/>
      <c r="J4" s="45"/>
      <c r="K4" s="45"/>
      <c r="L4" s="46"/>
      <c r="N4" s="44"/>
      <c r="O4" s="45"/>
      <c r="P4" s="45"/>
      <c r="Q4" s="45"/>
      <c r="R4" s="46"/>
    </row>
    <row r="5" spans="3:18" x14ac:dyDescent="0.3">
      <c r="C5" s="47"/>
      <c r="L5" s="50"/>
      <c r="N5" s="47"/>
      <c r="R5" s="50"/>
    </row>
    <row r="6" spans="3:18" x14ac:dyDescent="0.3">
      <c r="C6" s="47"/>
      <c r="J6" t="s">
        <v>337</v>
      </c>
      <c r="L6" s="50"/>
      <c r="N6" s="47"/>
      <c r="R6" s="50"/>
    </row>
    <row r="7" spans="3:18" x14ac:dyDescent="0.3">
      <c r="C7" s="47"/>
      <c r="L7" s="50"/>
      <c r="N7" s="47" t="s">
        <v>336</v>
      </c>
      <c r="O7" t="s">
        <v>335</v>
      </c>
      <c r="R7" s="50"/>
    </row>
    <row r="8" spans="3:18" ht="16.8" x14ac:dyDescent="0.4">
      <c r="C8" s="47"/>
      <c r="D8" t="s">
        <v>327</v>
      </c>
      <c r="L8" s="50"/>
      <c r="N8" s="47" t="s">
        <v>330</v>
      </c>
      <c r="O8" s="65" t="str">
        <f>CONCATENATE("Em comparação com a média móvel do setor dos últimos anos do indicador ",$D$38," , o desempenho da empresa no mesmo intervalo foi fraco, figurando entre as 25% piores.")</f>
        <v>Em comparação com a média móvel do setor dos últimos anos do indicador Margem Bruta , o desempenho da empresa no mesmo intervalo foi fraco, figurando entre as 25% piores.</v>
      </c>
      <c r="R8" s="50"/>
    </row>
    <row r="9" spans="3:18" ht="16.8" x14ac:dyDescent="0.4">
      <c r="C9" s="47"/>
      <c r="D9" t="str">
        <f>D38</f>
        <v>Margem Bruta</v>
      </c>
      <c r="E9">
        <v>2017</v>
      </c>
      <c r="F9">
        <v>2018</v>
      </c>
      <c r="G9">
        <v>2019</v>
      </c>
      <c r="H9">
        <v>2020</v>
      </c>
      <c r="I9">
        <v>2021</v>
      </c>
      <c r="J9" t="s">
        <v>334</v>
      </c>
      <c r="L9" s="50"/>
      <c r="N9" s="47" t="s">
        <v>332</v>
      </c>
      <c r="O9" s="65" t="str">
        <f>CONCATENATE("Em comparação com a média móvel do setor dos  anos avaliados do indicador ",$D$38,",  o desempenho da empresa no mesmo intervalo foi moderadamente fraco, figurando entre as 50% piores.")</f>
        <v>Em comparação com a média móvel do setor dos  anos avaliados do indicador Margem Bruta,  o desempenho da empresa no mesmo intervalo foi moderadamente fraco, figurando entre as 50% piores.</v>
      </c>
      <c r="R9" s="50"/>
    </row>
    <row r="10" spans="3:18" ht="16.8" x14ac:dyDescent="0.4">
      <c r="C10" s="47"/>
      <c r="D10" t="s">
        <v>320</v>
      </c>
      <c r="E10">
        <f>VLOOKUP($D$9,'Rúbricas BP Todas as dimensões'!$B$2:AA154,2,0)</f>
        <v>0</v>
      </c>
      <c r="F10">
        <f>VLOOKUP($D$9,'Rúbricas BP Todas as dimensões'!$B$2:AA154,7,0)</f>
        <v>0</v>
      </c>
      <c r="G10">
        <f>VLOOKUP($D$9,'Rúbricas BP Todas as dimensões'!$B$2:AA154,12,0)</f>
        <v>0</v>
      </c>
      <c r="H10">
        <f>VLOOKUP($D$9,'Rúbricas BP Todas as dimensões'!$B$2:AA154,17,0)</f>
        <v>0</v>
      </c>
      <c r="I10">
        <f>VLOOKUP($D$9,'Rúbricas BP Todas as dimensões'!$B$2:AA154,22,0)</f>
        <v>0</v>
      </c>
      <c r="J10">
        <f>AVERAGE(E10:I10)</f>
        <v>0</v>
      </c>
      <c r="L10" s="50"/>
      <c r="N10" s="47" t="s">
        <v>333</v>
      </c>
      <c r="O10" s="65" t="str">
        <f>CONCATENATE("Em comparação com a média móvel dos últimos 5 anos do indicador ",$D$38," do setor, o desempenho da empresa no mesmo intervalo foi moderadamente forte, figurando entre as 50% melhores.")</f>
        <v>Em comparação com a média móvel dos últimos 5 anos do indicador Margem Bruta do setor, o desempenho da empresa no mesmo intervalo foi moderadamente forte, figurando entre as 50% melhores.</v>
      </c>
      <c r="R10" s="50"/>
    </row>
    <row r="11" spans="3:18" ht="16.8" x14ac:dyDescent="0.4">
      <c r="C11" s="47"/>
      <c r="D11" t="s">
        <v>318</v>
      </c>
      <c r="E11">
        <f>VLOOKUP($D$9,'Rúbricas BP Todas as dimensões'!$B$2:AA154,3,0)</f>
        <v>0</v>
      </c>
      <c r="F11">
        <f>VLOOKUP($D$9,'Rúbricas BP Todas as dimensões'!$B$2:AA154,8,0)</f>
        <v>0</v>
      </c>
      <c r="G11">
        <f>VLOOKUP($D$9,'Rúbricas BP Todas as dimensões'!$B$2:AA154,13,0)</f>
        <v>0</v>
      </c>
      <c r="H11">
        <f>VLOOKUP($D$9,'Rúbricas BP Todas as dimensões'!$B$2:AA154,18,0)</f>
        <v>0</v>
      </c>
      <c r="I11">
        <f>VLOOKUP($D$9,'Rúbricas BP Todas as dimensões'!$B$2:AA154,23,0)</f>
        <v>0</v>
      </c>
      <c r="J11">
        <f>AVERAGE(E11:I11)</f>
        <v>0</v>
      </c>
      <c r="L11" s="50"/>
      <c r="N11" s="47" t="s">
        <v>331</v>
      </c>
      <c r="O11" s="65" t="str">
        <f>CONCATENATE("Em comparação com a média móvel do setor dos últimos 5 anos do indicador ",$D$38,", o desempenho da empresa no mesmo intervalo foi forte, figurando entre as 25% melhores.")</f>
        <v>Em comparação com a média móvel do setor dos últimos 5 anos do indicador Margem Bruta, o desempenho da empresa no mesmo intervalo foi forte, figurando entre as 25% melhores.</v>
      </c>
      <c r="R11" s="50"/>
    </row>
    <row r="12" spans="3:18" x14ac:dyDescent="0.3">
      <c r="C12" s="47"/>
      <c r="D12" t="s">
        <v>319</v>
      </c>
      <c r="E12">
        <f>VLOOKUP($D$9,'Rúbricas BP Todas as dimensões'!$B$2:AA154,4,0)</f>
        <v>0</v>
      </c>
      <c r="F12">
        <f>VLOOKUP($D$9,'Rúbricas BP Todas as dimensões'!$B$2:AA154,9,0)</f>
        <v>0</v>
      </c>
      <c r="G12">
        <f>VLOOKUP($D$9,'Rúbricas BP Todas as dimensões'!$B$2:AA154,14,0)</f>
        <v>0</v>
      </c>
      <c r="H12">
        <f>VLOOKUP($D$9,'Rúbricas BP Todas as dimensões'!$B$2:AA154,19,0)</f>
        <v>0</v>
      </c>
      <c r="I12">
        <f>VLOOKUP($D$9,'Rúbricas BP Todas as dimensões'!$B$2:AA154,24,0)</f>
        <v>0</v>
      </c>
      <c r="J12">
        <f>AVERAGE(E12:I12)</f>
        <v>0</v>
      </c>
      <c r="L12" s="50"/>
      <c r="N12" s="47"/>
      <c r="R12" s="50"/>
    </row>
    <row r="13" spans="3:18" ht="20.399999999999999" x14ac:dyDescent="0.45">
      <c r="C13" s="47"/>
      <c r="D13" t="s">
        <v>322</v>
      </c>
      <c r="E13">
        <f>E39*100</f>
        <v>42.098864618320299</v>
      </c>
      <c r="F13">
        <f>F39*100</f>
        <v>38.431359941972346</v>
      </c>
      <c r="G13">
        <f>G39*100</f>
        <v>42.194310318420136</v>
      </c>
      <c r="H13">
        <f>H39*100</f>
        <v>40.476953407076685</v>
      </c>
      <c r="I13">
        <f>I39*100</f>
        <v>44.951075206217091</v>
      </c>
      <c r="J13">
        <f>AVERAGE(E13:I13)</f>
        <v>41.630512698401319</v>
      </c>
      <c r="L13" s="50"/>
      <c r="N13" s="67" t="str">
        <f>VLOOKUP(E18,N8:O11,2,0)</f>
        <v>Em comparação com a média móvel do setor dos últimos 5 anos do indicador Margem Bruta, o desempenho da empresa no mesmo intervalo foi forte, figurando entre as 25% melhores.</v>
      </c>
      <c r="R13" s="50"/>
    </row>
    <row r="14" spans="3:18" x14ac:dyDescent="0.3">
      <c r="C14" s="47"/>
      <c r="L14" s="50"/>
      <c r="N14" s="47"/>
      <c r="R14" s="50"/>
    </row>
    <row r="15" spans="3:18" x14ac:dyDescent="0.3">
      <c r="C15" s="47"/>
      <c r="L15" s="50"/>
      <c r="N15" s="47"/>
      <c r="R15" s="50"/>
    </row>
    <row r="16" spans="3:18" x14ac:dyDescent="0.3">
      <c r="C16" s="47"/>
      <c r="F16">
        <v>0</v>
      </c>
      <c r="G16" t="s">
        <v>330</v>
      </c>
      <c r="H16" s="48">
        <v>0</v>
      </c>
      <c r="I16" s="49"/>
      <c r="L16" s="50"/>
      <c r="N16" s="47"/>
      <c r="R16" s="50"/>
    </row>
    <row r="17" spans="3:28" ht="15" thickBot="1" x14ac:dyDescent="0.35">
      <c r="C17" s="47"/>
      <c r="D17" t="s">
        <v>485</v>
      </c>
      <c r="E17">
        <f>I13</f>
        <v>44.951075206217091</v>
      </c>
      <c r="F17">
        <f>I10</f>
        <v>0</v>
      </c>
      <c r="G17" t="s">
        <v>332</v>
      </c>
      <c r="H17" s="48">
        <f>H16+ 0.25 + 0.125</f>
        <v>0.375</v>
      </c>
      <c r="I17" s="51"/>
      <c r="L17" s="50"/>
      <c r="N17" s="54"/>
      <c r="O17" s="55"/>
      <c r="P17" s="55"/>
      <c r="Q17" s="55"/>
      <c r="R17" s="56"/>
    </row>
    <row r="18" spans="3:28" x14ac:dyDescent="0.3">
      <c r="C18" s="47"/>
      <c r="E18" t="str">
        <f>VLOOKUP(E17,F16:H19,2,1)</f>
        <v>Forte</v>
      </c>
      <c r="F18">
        <f>$I11</f>
        <v>0</v>
      </c>
      <c r="G18" t="s">
        <v>333</v>
      </c>
      <c r="H18" s="48">
        <f>H17+ 0.25</f>
        <v>0.625</v>
      </c>
      <c r="I18" s="52"/>
      <c r="L18" s="50"/>
    </row>
    <row r="19" spans="3:28" x14ac:dyDescent="0.3">
      <c r="C19" s="47"/>
      <c r="E19">
        <f>VLOOKUP(E17,F16:H19,3.1)</f>
        <v>0.875</v>
      </c>
      <c r="F19">
        <f>$I12</f>
        <v>0</v>
      </c>
      <c r="G19" t="s">
        <v>331</v>
      </c>
      <c r="H19" s="48">
        <f>H18+ 0.25</f>
        <v>0.875</v>
      </c>
      <c r="I19" s="53"/>
      <c r="L19" s="50"/>
    </row>
    <row r="20" spans="3:28" x14ac:dyDescent="0.3">
      <c r="C20" s="47"/>
      <c r="E20">
        <v>0.01</v>
      </c>
      <c r="L20" s="50"/>
    </row>
    <row r="21" spans="3:28" x14ac:dyDescent="0.3">
      <c r="C21" s="47"/>
      <c r="E21" s="57">
        <f>200%-SUM(E19:E20)</f>
        <v>1.115</v>
      </c>
      <c r="L21" s="50"/>
    </row>
    <row r="22" spans="3:28" x14ac:dyDescent="0.3">
      <c r="C22" s="47"/>
      <c r="L22" s="50"/>
    </row>
    <row r="23" spans="3:28" ht="15" thickBot="1" x14ac:dyDescent="0.35">
      <c r="C23" s="54"/>
      <c r="D23" s="55"/>
      <c r="E23" s="55"/>
      <c r="F23" s="55"/>
      <c r="G23" s="55"/>
      <c r="H23" s="55"/>
      <c r="I23" s="55"/>
      <c r="J23" s="55"/>
      <c r="K23" s="55"/>
      <c r="L23" s="56"/>
    </row>
    <row r="24" spans="3:28" ht="15" thickBot="1" x14ac:dyDescent="0.35"/>
    <row r="25" spans="3:28" x14ac:dyDescent="0.3">
      <c r="C25" s="44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6"/>
      <c r="X25" s="43"/>
      <c r="Y25" s="43"/>
      <c r="Z25" s="43"/>
      <c r="AA25" s="43"/>
      <c r="AB25" s="43"/>
    </row>
    <row r="26" spans="3:28" x14ac:dyDescent="0.3">
      <c r="C26" s="47"/>
      <c r="D26" t="s">
        <v>326</v>
      </c>
      <c r="Q26" s="50"/>
      <c r="X26" s="36"/>
      <c r="Y26" s="36"/>
      <c r="Z26" s="36"/>
      <c r="AA26" s="36"/>
      <c r="AB26" s="36"/>
    </row>
    <row r="27" spans="3:28" x14ac:dyDescent="0.3">
      <c r="C27" s="47"/>
      <c r="D27" t="s">
        <v>324</v>
      </c>
      <c r="E27" t="s">
        <v>313</v>
      </c>
      <c r="F27" t="s">
        <v>314</v>
      </c>
      <c r="G27" t="s">
        <v>315</v>
      </c>
      <c r="H27" t="s">
        <v>316</v>
      </c>
      <c r="I27" t="s">
        <v>317</v>
      </c>
      <c r="K27" t="s">
        <v>325</v>
      </c>
      <c r="L27" t="s">
        <v>313</v>
      </c>
      <c r="M27" t="s">
        <v>314</v>
      </c>
      <c r="N27" t="s">
        <v>315</v>
      </c>
      <c r="O27" t="s">
        <v>316</v>
      </c>
      <c r="P27" t="s">
        <v>317</v>
      </c>
      <c r="Q27" s="50"/>
      <c r="X27" s="36"/>
      <c r="Y27" s="36"/>
      <c r="Z27" s="36"/>
      <c r="AA27" s="36"/>
      <c r="AB27" s="36"/>
    </row>
    <row r="28" spans="3:28" x14ac:dyDescent="0.3">
      <c r="C28" s="47"/>
      <c r="D28" t="s">
        <v>321</v>
      </c>
      <c r="E28" s="57">
        <f>Indicadores!C5</f>
        <v>8.4831708091884714E-2</v>
      </c>
      <c r="F28" s="57">
        <f>Indicadores!D5</f>
        <v>0.10916296336326162</v>
      </c>
      <c r="G28" s="57">
        <f>Indicadores!E5</f>
        <v>9.4553430696491886E-2</v>
      </c>
      <c r="H28" s="57">
        <f>Indicadores!F5</f>
        <v>5.3908954454453852E-2</v>
      </c>
      <c r="I28" s="57">
        <f>Indicadores!G5</f>
        <v>0.18201777115387138</v>
      </c>
      <c r="K28" t="s">
        <v>321</v>
      </c>
      <c r="L28" s="60" t="e">
        <f>+'Dados do Setor'!C5/'Dados do Setor'!C4</f>
        <v>#DIV/0!</v>
      </c>
      <c r="M28" s="60">
        <f>+'Dados do Setor'!D5/'Dados do Setor'!D4</f>
        <v>7.9248075784487865E-2</v>
      </c>
      <c r="N28" s="60">
        <f>+'Dados do Setor'!E5/'Dados do Setor'!E4</f>
        <v>4.7272087293206616E-2</v>
      </c>
      <c r="O28" s="60">
        <f>+'Dados do Setor'!F5/'Dados do Setor'!F4</f>
        <v>5.5251684502576295E-2</v>
      </c>
      <c r="P28" s="60">
        <f>+'Dados do Setor'!G5/'Dados do Setor'!G4</f>
        <v>7.7359307359307364E-2</v>
      </c>
      <c r="Q28" s="50"/>
    </row>
    <row r="29" spans="3:28" x14ac:dyDescent="0.3">
      <c r="C29" s="47"/>
      <c r="D29" t="s">
        <v>95</v>
      </c>
      <c r="E29" s="57">
        <f>Indicadores!C6</f>
        <v>0.42098864618320297</v>
      </c>
      <c r="F29" s="57">
        <f>Indicadores!D6</f>
        <v>0.38431359941972343</v>
      </c>
      <c r="G29" s="57">
        <f>Indicadores!E6</f>
        <v>0.42194310318420136</v>
      </c>
      <c r="H29" s="57">
        <f>Indicadores!F6</f>
        <v>0.40476953407076688</v>
      </c>
      <c r="I29" s="57">
        <f>Indicadores!G6</f>
        <v>0.44951075206217089</v>
      </c>
      <c r="K29" t="s">
        <v>95</v>
      </c>
      <c r="L29" s="61" t="e">
        <f>+('Dados do Setor'!C4-'Dados do Setor'!C6)/'Dados do Setor'!C4</f>
        <v>#DIV/0!</v>
      </c>
      <c r="M29" s="61">
        <f>+('Dados do Setor'!D4-'Dados do Setor'!D6)/'Dados do Setor'!D4</f>
        <v>0.20100651272942568</v>
      </c>
      <c r="N29" s="61">
        <f>+('Dados do Setor'!E4-'Dados do Setor'!E6)/'Dados do Setor'!E4</f>
        <v>0.19148187258007743</v>
      </c>
      <c r="O29" s="61">
        <f>+('Dados do Setor'!F4-'Dados do Setor'!F6)/'Dados do Setor'!F4</f>
        <v>0.26397146254458975</v>
      </c>
      <c r="P29" s="61">
        <f>+('Dados do Setor'!G4-'Dados do Setor'!G6)/'Dados do Setor'!G4</f>
        <v>0.20346320346320346</v>
      </c>
      <c r="Q29" s="50"/>
    </row>
    <row r="30" spans="3:28" x14ac:dyDescent="0.3">
      <c r="C30" s="47"/>
      <c r="D30" t="s">
        <v>99</v>
      </c>
      <c r="E30" s="57">
        <f>Indicadores!C7</f>
        <v>4.4651377108608711E-2</v>
      </c>
      <c r="F30" s="57">
        <f>Indicadores!D7</f>
        <v>7.0914748862189417E-2</v>
      </c>
      <c r="G30" s="57">
        <f>Indicadores!E7</f>
        <v>6.8964427259887051E-2</v>
      </c>
      <c r="H30" s="57">
        <f>Indicadores!F7</f>
        <v>2.0072413721197713E-2</v>
      </c>
      <c r="I30" s="57">
        <f>Indicadores!G7</f>
        <v>9.9366762966935196E-2</v>
      </c>
      <c r="K30" t="s">
        <v>99</v>
      </c>
      <c r="L30" s="60" t="e">
        <f>+'Dados do Setor'!C9/'Dados do Setor'!C4</f>
        <v>#DIV/0!</v>
      </c>
      <c r="M30" s="60">
        <f>+'Dados do Setor'!D9/'Dados do Setor'!D4</f>
        <v>4.1799881586737718E-2</v>
      </c>
      <c r="N30" s="60">
        <f>+'Dados do Setor'!E9/'Dados do Setor'!E4</f>
        <v>7.743752199929602E-3</v>
      </c>
      <c r="O30" s="60">
        <f>+'Dados do Setor'!F9/'Dados do Setor'!F4</f>
        <v>1.0265556876734047E-2</v>
      </c>
      <c r="P30" s="60">
        <f>+'Dados do Setor'!G9/'Dados do Setor'!G4</f>
        <v>4.4155844155844157E-2</v>
      </c>
      <c r="Q30" s="50"/>
    </row>
    <row r="31" spans="3:28" x14ac:dyDescent="0.3">
      <c r="C31" s="47"/>
      <c r="D31" t="s">
        <v>90</v>
      </c>
      <c r="E31" s="57">
        <f>Indicadores!C8</f>
        <v>0.33498891945565801</v>
      </c>
      <c r="F31" s="57">
        <f>Indicadores!D8</f>
        <v>0.3112095886348043</v>
      </c>
      <c r="G31" s="57">
        <f>Indicadores!E8</f>
        <v>0.32109557003397066</v>
      </c>
      <c r="H31" s="57">
        <f>Indicadores!F8</f>
        <v>0.28613804815694566</v>
      </c>
      <c r="I31" s="57">
        <f>Indicadores!G8</f>
        <v>0.37059793923453527</v>
      </c>
      <c r="K31" t="s">
        <v>90</v>
      </c>
      <c r="L31" s="62" t="e">
        <f>+'Dados do Setor'!C21</f>
        <v>#VALUE!</v>
      </c>
      <c r="M31" s="62" t="e">
        <f>+'Dados do Setor'!D21</f>
        <v>#VALUE!</v>
      </c>
      <c r="N31" s="62" t="e">
        <f>+'Dados do Setor'!E21</f>
        <v>#VALUE!</v>
      </c>
      <c r="O31" s="62" t="e">
        <f>+'Dados do Setor'!F21</f>
        <v>#VALUE!</v>
      </c>
      <c r="P31" s="62" t="e">
        <f>+'Dados do Setor'!G21</f>
        <v>#VALUE!</v>
      </c>
      <c r="Q31" s="50"/>
    </row>
    <row r="32" spans="3:28" x14ac:dyDescent="0.3">
      <c r="C32" s="47"/>
      <c r="D32" t="s">
        <v>323</v>
      </c>
      <c r="E32" s="57">
        <f>Indicadores!C9</f>
        <v>4.694698603858901E-2</v>
      </c>
      <c r="F32" s="57">
        <f>Indicadores!D9</f>
        <v>6.6916432358693365E-2</v>
      </c>
      <c r="G32" s="57">
        <f>Indicadores!E9</f>
        <v>6.7738547517142464E-2</v>
      </c>
      <c r="H32" s="57">
        <f>Indicadores!F9</f>
        <v>1.3018180321032963E-2</v>
      </c>
      <c r="I32" s="57">
        <f>Indicadores!G9</f>
        <v>8.561181386526856E-2</v>
      </c>
      <c r="K32" t="s">
        <v>323</v>
      </c>
      <c r="L32" s="57" t="e">
        <f>+'Dados do Setor'!C9/'Dados do Setor'!C10</f>
        <v>#DIV/0!</v>
      </c>
      <c r="M32" s="57">
        <f>+'Dados do Setor'!D9/'Dados do Setor'!D10</f>
        <v>5.3182674199623352E-2</v>
      </c>
      <c r="N32" s="57">
        <f>+'Dados do Setor'!E9/'Dados do Setor'!E10</f>
        <v>8.1814801041279282E-3</v>
      </c>
      <c r="O32" s="57">
        <f>+'Dados do Setor'!F9/'Dados do Setor'!F10</f>
        <v>9.6210995542347702E-3</v>
      </c>
      <c r="P32" s="57">
        <f>+'Dados do Setor'!G9/'Dados do Setor'!G10</f>
        <v>7.1578947368421048E-2</v>
      </c>
      <c r="Q32" s="50"/>
    </row>
    <row r="33" spans="3:22" x14ac:dyDescent="0.3">
      <c r="C33" s="47"/>
      <c r="Q33" s="50"/>
      <c r="U33" t="s">
        <v>321</v>
      </c>
    </row>
    <row r="34" spans="3:22" x14ac:dyDescent="0.3">
      <c r="C34" s="47"/>
      <c r="Q34" s="50"/>
      <c r="U34" t="s">
        <v>95</v>
      </c>
    </row>
    <row r="35" spans="3:22" x14ac:dyDescent="0.3">
      <c r="C35" s="47"/>
      <c r="Q35" s="50"/>
      <c r="U35" t="s">
        <v>328</v>
      </c>
    </row>
    <row r="36" spans="3:22" ht="15" thickBot="1" x14ac:dyDescent="0.35">
      <c r="C36" s="47"/>
      <c r="Q36" s="50"/>
      <c r="U36" s="55" t="s">
        <v>90</v>
      </c>
      <c r="V36" s="55"/>
    </row>
    <row r="37" spans="3:22" x14ac:dyDescent="0.3">
      <c r="C37" s="47"/>
      <c r="Q37" s="50"/>
      <c r="U37" t="s">
        <v>323</v>
      </c>
      <c r="V37" t="s">
        <v>329</v>
      </c>
    </row>
    <row r="38" spans="3:22" ht="16.8" x14ac:dyDescent="0.4">
      <c r="C38" s="47"/>
      <c r="D38" s="58" t="s">
        <v>95</v>
      </c>
      <c r="E38" s="63" t="s">
        <v>313</v>
      </c>
      <c r="F38" s="63" t="s">
        <v>314</v>
      </c>
      <c r="G38" s="63" t="s">
        <v>315</v>
      </c>
      <c r="H38" s="63" t="s">
        <v>316</v>
      </c>
      <c r="I38" s="63" t="s">
        <v>317</v>
      </c>
      <c r="K38" s="63" t="s">
        <v>325</v>
      </c>
      <c r="L38" s="63" t="s">
        <v>313</v>
      </c>
      <c r="M38" s="63" t="s">
        <v>314</v>
      </c>
      <c r="N38" s="63" t="s">
        <v>315</v>
      </c>
      <c r="O38" s="63" t="s">
        <v>316</v>
      </c>
      <c r="P38" s="63" t="s">
        <v>317</v>
      </c>
      <c r="Q38" s="50"/>
    </row>
    <row r="39" spans="3:22" x14ac:dyDescent="0.3">
      <c r="C39" s="47"/>
      <c r="D39" t="s">
        <v>138</v>
      </c>
      <c r="E39" s="59">
        <f>VLOOKUP($D$38,$D$28:$I$32,MATCH(E27,$E$27:$I$27,0)+1,0)</f>
        <v>0.42098864618320297</v>
      </c>
      <c r="F39" s="59">
        <f>VLOOKUP($D$38,$D$28:$I$32,MATCH(F27,$E$27:$I$27,0)+1,0)</f>
        <v>0.38431359941972343</v>
      </c>
      <c r="G39" s="59">
        <f>VLOOKUP($D$38,$D$28:$I$32,MATCH(G27,$E$27:$I$27,0)+1,0)</f>
        <v>0.42194310318420136</v>
      </c>
      <c r="H39" s="59">
        <f>VLOOKUP($D$38,$D$28:$I$32,MATCH(H27,$E$27:$I$27,0)+1,0)</f>
        <v>0.40476953407076688</v>
      </c>
      <c r="I39" s="59">
        <f>VLOOKUP($D$38,$D$28:$I$32,MATCH(I27,$E$27:$I$27,0)+1,0)</f>
        <v>0.44951075206217089</v>
      </c>
      <c r="K39" t="s">
        <v>321</v>
      </c>
      <c r="L39" s="59" t="e">
        <f>VLOOKUP($K$39,$K$27:$P$32,MATCH(L38,$L$27:$P$27,0)+1,0)</f>
        <v>#DIV/0!</v>
      </c>
      <c r="M39" s="59">
        <f>VLOOKUP($K$39,$K$27:$P$32,MATCH(M38,$L$27:$P$27,0)+1,0)</f>
        <v>7.9248075784487865E-2</v>
      </c>
      <c r="N39" s="59">
        <f>VLOOKUP($K$39,$K$27:$P$32,MATCH(N38,$L$27:$P$27,0)+1,0)</f>
        <v>4.7272087293206616E-2</v>
      </c>
      <c r="O39" s="59">
        <f>VLOOKUP($K$39,$K$27:$P$32,MATCH(O38,$L$27:$P$27,0)+1,0)</f>
        <v>5.5251684502576295E-2</v>
      </c>
      <c r="P39" s="59">
        <f>VLOOKUP($K$39,$K$27:$P$32,MATCH(P38,$L$27:$P$27,0)+1,0)</f>
        <v>7.7359307359307364E-2</v>
      </c>
      <c r="Q39" s="50"/>
    </row>
    <row r="40" spans="3:22" x14ac:dyDescent="0.3">
      <c r="C40" s="47"/>
      <c r="D40" t="s">
        <v>139</v>
      </c>
      <c r="E40" s="59" t="e">
        <f>VLOOKUP($D$38,$K$27:$P$32,MATCH(E38,$L$27:$P$27,0)+1,0)</f>
        <v>#DIV/0!</v>
      </c>
      <c r="F40" s="59">
        <f>VLOOKUP($D$38,$K$27:$P$32,MATCH(M38,$L$27:$P$27,0)+1,0)</f>
        <v>0.20100651272942568</v>
      </c>
      <c r="G40" s="59">
        <f>VLOOKUP($D$38,$K$27:$P$32,MATCH(N38,$L$27:$P$27,0)+1,0)</f>
        <v>0.19148187258007743</v>
      </c>
      <c r="H40" s="59">
        <f>VLOOKUP($D$38,$K$27:$P$32,MATCH(O38,$L$27:$P$27,0)+1,0)</f>
        <v>0.26397146254458975</v>
      </c>
      <c r="I40" s="59">
        <f>VLOOKUP($D$38,$K$27:$P$32,MATCH(P38,$L$27:$P$27,0)+1,0)</f>
        <v>0.20346320346320346</v>
      </c>
      <c r="Q40" s="50"/>
    </row>
    <row r="41" spans="3:22" x14ac:dyDescent="0.3">
      <c r="C41" s="47"/>
      <c r="D41" s="63"/>
      <c r="E41" s="64" t="e">
        <f>E39-E40</f>
        <v>#DIV/0!</v>
      </c>
      <c r="F41" s="64">
        <f>F39-F40</f>
        <v>0.18330708669029774</v>
      </c>
      <c r="G41" s="64">
        <f>G39-G40</f>
        <v>0.23046123060412393</v>
      </c>
      <c r="H41" s="64">
        <f>H39-H40</f>
        <v>0.14079807152617713</v>
      </c>
      <c r="I41" s="64">
        <f>I39-I40</f>
        <v>0.24604754859896744</v>
      </c>
      <c r="Q41" s="50"/>
    </row>
    <row r="42" spans="3:22" x14ac:dyDescent="0.3">
      <c r="C42" s="47"/>
      <c r="Q42" s="50"/>
    </row>
    <row r="43" spans="3:22" x14ac:dyDescent="0.3">
      <c r="C43" s="47"/>
      <c r="Q43" s="50"/>
    </row>
    <row r="44" spans="3:22" x14ac:dyDescent="0.3">
      <c r="C44" s="47"/>
      <c r="L44" s="63"/>
      <c r="M44" s="63"/>
      <c r="N44" s="63"/>
      <c r="O44" s="63"/>
      <c r="P44" s="63"/>
      <c r="Q44" s="50"/>
    </row>
    <row r="45" spans="3:22" x14ac:dyDescent="0.3">
      <c r="C45" s="47"/>
      <c r="L45" s="64"/>
      <c r="M45" s="64"/>
      <c r="N45" s="64"/>
      <c r="O45" s="64"/>
      <c r="P45" s="64"/>
      <c r="Q45" s="50"/>
    </row>
    <row r="46" spans="3:22" x14ac:dyDescent="0.3">
      <c r="C46" s="47"/>
      <c r="Q46" s="50"/>
    </row>
    <row r="47" spans="3:22" x14ac:dyDescent="0.3">
      <c r="C47" s="47"/>
      <c r="Q47" s="50"/>
    </row>
    <row r="48" spans="3:22" x14ac:dyDescent="0.3">
      <c r="C48" s="47"/>
      <c r="Q48" s="50"/>
    </row>
    <row r="49" spans="3:17" ht="15" thickBot="1" x14ac:dyDescent="0.35">
      <c r="C49" s="54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6"/>
    </row>
  </sheetData>
  <dataValidations count="2">
    <dataValidation type="list" allowBlank="1" showInputMessage="1" showErrorMessage="1" sqref="D38 D45 W25" xr:uid="{6D60A2D9-351F-4E4D-86B2-44F24C74E01C}">
      <formula1>$D$28:$D$32</formula1>
    </dataValidation>
    <dataValidation type="list" allowBlank="1" showInputMessage="1" showErrorMessage="1" sqref="K39" xr:uid="{3B33EA76-333C-4324-A412-085DBF960C34}">
      <formula1>$K$28:$K$32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A329-DAAC-46EB-8247-FF8FE353A2B2}">
  <sheetPr codeName="Folha6"/>
  <dimension ref="A2:AA24"/>
  <sheetViews>
    <sheetView topLeftCell="A25" workbookViewId="0">
      <selection activeCell="Z31" sqref="Z31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  <col min="19" max="19" width="17.33203125" customWidth="1"/>
    <col min="20" max="20" width="13.33203125" customWidth="1"/>
    <col min="21" max="21" width="28.33203125" customWidth="1"/>
    <col min="22" max="22" width="19.5546875" customWidth="1"/>
    <col min="23" max="23" width="50.44140625" customWidth="1"/>
  </cols>
  <sheetData>
    <row r="2" spans="1:27" x14ac:dyDescent="0.3">
      <c r="A2" s="114" t="s">
        <v>162</v>
      </c>
      <c r="B2" s="114"/>
      <c r="C2" s="114"/>
      <c r="D2" s="114"/>
      <c r="E2" s="114"/>
      <c r="F2" s="114"/>
      <c r="G2" s="114"/>
      <c r="H2" s="114"/>
      <c r="I2" s="95"/>
      <c r="J2" s="95"/>
      <c r="K2" s="95"/>
      <c r="L2" s="95"/>
      <c r="M2" s="95"/>
      <c r="N2" s="95"/>
      <c r="O2" s="95"/>
    </row>
    <row r="3" spans="1:27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86">
        <v>2021</v>
      </c>
      <c r="I3" s="75"/>
      <c r="J3" s="75"/>
      <c r="K3" s="75"/>
      <c r="L3" s="75"/>
      <c r="M3" s="75"/>
      <c r="N3" s="75"/>
      <c r="O3" s="75"/>
    </row>
    <row r="4" spans="1:27" x14ac:dyDescent="0.3">
      <c r="A4" s="126" t="s">
        <v>96</v>
      </c>
      <c r="B4" s="126" t="s">
        <v>97</v>
      </c>
      <c r="C4" s="21" t="s">
        <v>138</v>
      </c>
      <c r="D4" s="23">
        <f>+'Demonstração de Resultados'!C23/'Demonstração de Resultados'!C5</f>
        <v>8.4831708091884714E-2</v>
      </c>
      <c r="E4" s="23">
        <f>+'Demonstração de Resultados'!D23/'Demonstração de Resultados'!D5</f>
        <v>0.10916296336326162</v>
      </c>
      <c r="F4" s="23">
        <f>+'Demonstração de Resultados'!E23/'Demonstração de Resultados'!E5</f>
        <v>9.4553430696491886E-2</v>
      </c>
      <c r="G4" s="23">
        <f>+'Demonstração de Resultados'!F23/'Demonstração de Resultados'!F5</f>
        <v>5.3908954454453852E-2</v>
      </c>
      <c r="H4" s="23">
        <f>+'Demonstração de Resultados'!$G$23/'Demonstração de Resultados'!$G$5</f>
        <v>0.18201777115387138</v>
      </c>
    </row>
    <row r="5" spans="1:27" x14ac:dyDescent="0.3">
      <c r="A5" s="127"/>
      <c r="B5" s="127"/>
      <c r="C5" s="31" t="s">
        <v>139</v>
      </c>
      <c r="D5" s="39" t="e">
        <f>+'Dados do Setor'!C5/'Dados do Setor'!C4</f>
        <v>#DIV/0!</v>
      </c>
      <c r="E5" s="39">
        <f>+'Dados do Setor'!D5/'Dados do Setor'!D4</f>
        <v>7.9248075784487865E-2</v>
      </c>
      <c r="F5" s="39">
        <f>+'Dados do Setor'!E5/'Dados do Setor'!E4</f>
        <v>4.7272087293206616E-2</v>
      </c>
      <c r="G5" s="39">
        <f>+'Dados do Setor'!F5/'Dados do Setor'!F4</f>
        <v>5.5251684502576295E-2</v>
      </c>
      <c r="H5" s="39">
        <f>+'Dados do Setor'!$G$5/'Dados do Setor'!$G$4</f>
        <v>7.7359307359307364E-2</v>
      </c>
      <c r="V5" s="74"/>
      <c r="W5" s="75"/>
      <c r="X5" s="75"/>
      <c r="Y5" s="75"/>
      <c r="Z5" s="75"/>
      <c r="AA5" s="75"/>
    </row>
    <row r="6" spans="1:27" x14ac:dyDescent="0.3">
      <c r="A6" s="128"/>
      <c r="B6" s="128"/>
      <c r="C6" s="32" t="s">
        <v>157</v>
      </c>
      <c r="D6" s="40" t="e">
        <f>+D4-D5</f>
        <v>#DIV/0!</v>
      </c>
      <c r="E6" s="40">
        <f>+E4-E5</f>
        <v>2.9914887578773752E-2</v>
      </c>
      <c r="F6" s="40">
        <f>+F4-F5</f>
        <v>4.728134340328527E-2</v>
      </c>
      <c r="G6" s="40">
        <f>+G4-G5</f>
        <v>-1.3427300481224438E-3</v>
      </c>
      <c r="H6" s="40">
        <f>+$H$4-$H$5</f>
        <v>0.10465846379456402</v>
      </c>
      <c r="W6" s="76"/>
      <c r="X6" s="76"/>
      <c r="Y6" s="76"/>
      <c r="Z6" s="76"/>
      <c r="AA6" s="76"/>
    </row>
    <row r="7" spans="1:27" x14ac:dyDescent="0.3">
      <c r="A7" s="126" t="s">
        <v>95</v>
      </c>
      <c r="B7" s="126" t="s">
        <v>98</v>
      </c>
      <c r="C7" s="21" t="s">
        <v>138</v>
      </c>
      <c r="D7" s="23">
        <f>+('Demonstração de Resultados'!C5-'Demonstração de Resultados'!C10)/'Demonstração de Resultados'!C5</f>
        <v>0.42098864618320297</v>
      </c>
      <c r="E7" s="23">
        <f>+('Demonstração de Resultados'!D5-'Demonstração de Resultados'!D10)/'Demonstração de Resultados'!D5</f>
        <v>0.38431359941972343</v>
      </c>
      <c r="F7" s="23">
        <f>+('Demonstração de Resultados'!E5-'Demonstração de Resultados'!E10)/'Demonstração de Resultados'!E5</f>
        <v>0.42194310318420136</v>
      </c>
      <c r="G7" s="23">
        <f>+('Demonstração de Resultados'!F5-'Demonstração de Resultados'!F10)/'Demonstração de Resultados'!F5</f>
        <v>0.40476953407076688</v>
      </c>
      <c r="H7" s="22">
        <f>+('Demonstração de Resultados'!$G$5-'Demonstração de Resultados'!$G$10)/'Demonstração de Resultados'!$G$5</f>
        <v>0.44951075206217089</v>
      </c>
    </row>
    <row r="8" spans="1:27" x14ac:dyDescent="0.3">
      <c r="A8" s="127"/>
      <c r="B8" s="127"/>
      <c r="C8" s="31" t="s">
        <v>139</v>
      </c>
      <c r="D8" s="39" t="e">
        <f>+('Dados do Setor'!C4-'Dados do Setor'!C6)/'Dados do Setor'!C4</f>
        <v>#DIV/0!</v>
      </c>
      <c r="E8" s="39">
        <f>+('Dados do Setor'!D4-'Dados do Setor'!D6)/'Dados do Setor'!D4</f>
        <v>0.20100651272942568</v>
      </c>
      <c r="F8" s="39">
        <f>+('Dados do Setor'!E4-'Dados do Setor'!E6)/'Dados do Setor'!E4</f>
        <v>0.19148187258007743</v>
      </c>
      <c r="G8" s="39">
        <f>+('Dados do Setor'!F4-'Dados do Setor'!F6)/'Dados do Setor'!F4</f>
        <v>0.26397146254458975</v>
      </c>
      <c r="H8" s="30">
        <f>+('Dados do Setor'!$G$4-'Dados do Setor'!$G$6)/'Dados do Setor'!$G$4</f>
        <v>0.20346320346320346</v>
      </c>
    </row>
    <row r="9" spans="1:27" x14ac:dyDescent="0.3">
      <c r="A9" s="128"/>
      <c r="B9" s="128"/>
      <c r="C9" s="32" t="s">
        <v>157</v>
      </c>
      <c r="D9" s="40" t="e">
        <f>+D7-D8</f>
        <v>#DIV/0!</v>
      </c>
      <c r="E9" s="40">
        <f>+E7-E8</f>
        <v>0.18330708669029774</v>
      </c>
      <c r="F9" s="40">
        <f>+F7-F8</f>
        <v>0.23046123060412393</v>
      </c>
      <c r="G9" s="40">
        <f>+G7-G8</f>
        <v>0.14079807152617713</v>
      </c>
      <c r="H9" s="40">
        <f>+$H$7-$H$8</f>
        <v>0.24604754859896744</v>
      </c>
    </row>
    <row r="10" spans="1:27" x14ac:dyDescent="0.3">
      <c r="A10" s="126" t="s">
        <v>99</v>
      </c>
      <c r="B10" s="126" t="s">
        <v>100</v>
      </c>
      <c r="C10" s="21" t="s">
        <v>138</v>
      </c>
      <c r="D10" s="23">
        <f>+'Demonstração de Resultados'!C31/'Demonstração de Resultados'!C5</f>
        <v>4.4651377108608711E-2</v>
      </c>
      <c r="E10" s="23">
        <f>+'Demonstração de Resultados'!D31/'Demonstração de Resultados'!D5</f>
        <v>7.0914748862189417E-2</v>
      </c>
      <c r="F10" s="23">
        <f>+'Demonstração de Resultados'!E31/'Demonstração de Resultados'!E5</f>
        <v>6.8964427259887051E-2</v>
      </c>
      <c r="G10" s="23">
        <f>+'Demonstração de Resultados'!F31/'Demonstração de Resultados'!F5</f>
        <v>2.0072413721197713E-2</v>
      </c>
      <c r="H10" s="23">
        <f>+'Demonstração de Resultados'!$G$31/'Demonstração de Resultados'!$G$5</f>
        <v>9.9366762966935196E-2</v>
      </c>
      <c r="W10" s="77"/>
    </row>
    <row r="11" spans="1:27" x14ac:dyDescent="0.3">
      <c r="A11" s="127"/>
      <c r="B11" s="127"/>
      <c r="C11" s="31" t="s">
        <v>139</v>
      </c>
      <c r="D11" s="39" t="e">
        <f>+'Dados do Setor'!C9/'Dados do Setor'!C4</f>
        <v>#DIV/0!</v>
      </c>
      <c r="E11" s="39">
        <f>+'Dados do Setor'!D9/'Dados do Setor'!D4</f>
        <v>4.1799881586737718E-2</v>
      </c>
      <c r="F11" s="39">
        <f>+'Dados do Setor'!E9/'Dados do Setor'!E4</f>
        <v>7.743752199929602E-3</v>
      </c>
      <c r="G11" s="39">
        <f>+'Dados do Setor'!F9/'Dados do Setor'!F4</f>
        <v>1.0265556876734047E-2</v>
      </c>
      <c r="H11" s="39">
        <f>+'Dados do Setor'!$G$9/'Dados do Setor'!$G$4</f>
        <v>4.4155844155844157E-2</v>
      </c>
      <c r="W11" s="77"/>
    </row>
    <row r="12" spans="1:27" x14ac:dyDescent="0.3">
      <c r="A12" s="128"/>
      <c r="B12" s="128"/>
      <c r="C12" s="32" t="s">
        <v>157</v>
      </c>
      <c r="D12" s="40" t="e">
        <f>+D10-D11</f>
        <v>#DIV/0!</v>
      </c>
      <c r="E12" s="40">
        <f>+E10-E11</f>
        <v>2.9114867275451699E-2</v>
      </c>
      <c r="F12" s="40">
        <f>+F10-F11</f>
        <v>6.1220675059957451E-2</v>
      </c>
      <c r="G12" s="40">
        <f>+G10-G11</f>
        <v>9.8068568444636666E-3</v>
      </c>
      <c r="H12" s="40">
        <f>+$H$10-$H$11</f>
        <v>5.5210918811091039E-2</v>
      </c>
      <c r="W12" s="77"/>
    </row>
    <row r="13" spans="1:27" x14ac:dyDescent="0.3">
      <c r="A13" s="126" t="s">
        <v>90</v>
      </c>
      <c r="B13" s="126" t="s">
        <v>93</v>
      </c>
      <c r="C13" s="21" t="s">
        <v>138</v>
      </c>
      <c r="D13" s="23">
        <f>+'Demonstração de Resultados'!C36/'Demonstração de Resultados'!C35</f>
        <v>0.33498891945565801</v>
      </c>
      <c r="E13" s="23">
        <f>+'Demonstração de Resultados'!D36/'Demonstração de Resultados'!D35</f>
        <v>0.3112095886348043</v>
      </c>
      <c r="F13" s="23">
        <f>+'Demonstração de Resultados'!E36/'Demonstração de Resultados'!E35</f>
        <v>0.32109557003397066</v>
      </c>
      <c r="G13" s="23">
        <f>+'Demonstração de Resultados'!F36/'Demonstração de Resultados'!F35</f>
        <v>0.28613804815694566</v>
      </c>
      <c r="H13" s="23">
        <f>+'Demonstração de Resultados'!$G$36/'Demonstração de Resultados'!$G$35</f>
        <v>0.37059793923453527</v>
      </c>
      <c r="W13" s="60"/>
    </row>
    <row r="14" spans="1:27" x14ac:dyDescent="0.3">
      <c r="A14" s="127"/>
      <c r="B14" s="127"/>
      <c r="C14" s="31" t="s">
        <v>139</v>
      </c>
      <c r="D14" s="41" t="e">
        <f>+'Dados do Setor'!C21</f>
        <v>#VALUE!</v>
      </c>
      <c r="E14" s="41" t="e">
        <f>+'Dados do Setor'!D21</f>
        <v>#VALUE!</v>
      </c>
      <c r="F14" s="41" t="e">
        <f>+'Dados do Setor'!E21</f>
        <v>#VALUE!</v>
      </c>
      <c r="G14" s="41" t="e">
        <f>+'Dados do Setor'!F21</f>
        <v>#VALUE!</v>
      </c>
      <c r="H14" s="39" t="e">
        <f>+'Dados do Setor'!$G$21</f>
        <v>#VALUE!</v>
      </c>
      <c r="W14" s="60"/>
    </row>
    <row r="15" spans="1:27" x14ac:dyDescent="0.3">
      <c r="A15" s="128"/>
      <c r="B15" s="128"/>
      <c r="C15" s="32" t="s">
        <v>157</v>
      </c>
      <c r="D15" s="40" t="e">
        <f>+D13-D14</f>
        <v>#VALUE!</v>
      </c>
      <c r="E15" s="40" t="e">
        <f>+E13-E14</f>
        <v>#VALUE!</v>
      </c>
      <c r="F15" s="40" t="e">
        <f>+F13-F14</f>
        <v>#VALUE!</v>
      </c>
      <c r="G15" s="40" t="e">
        <f>+G13-G14</f>
        <v>#VALUE!</v>
      </c>
      <c r="H15" s="40" t="e">
        <f>+$H$13-$H$14</f>
        <v>#VALUE!</v>
      </c>
      <c r="W15" s="77"/>
    </row>
    <row r="16" spans="1:27" x14ac:dyDescent="0.3">
      <c r="A16" s="126" t="s">
        <v>103</v>
      </c>
      <c r="B16" s="126" t="s">
        <v>104</v>
      </c>
      <c r="C16" s="21" t="s">
        <v>138</v>
      </c>
      <c r="D16" s="24">
        <f>+'Demonstração de Resultados'!C31/Balanço!C31</f>
        <v>4.694698603858901E-2</v>
      </c>
      <c r="E16" s="23">
        <f>+'Demonstração de Resultados'!D31/Balanço!D31</f>
        <v>6.6916432358693365E-2</v>
      </c>
      <c r="F16" s="23">
        <f>+'Demonstração de Resultados'!E31/Balanço!E31</f>
        <v>6.7738547517142464E-2</v>
      </c>
      <c r="G16" s="23">
        <f>+'Demonstração de Resultados'!F31/Balanço!F31</f>
        <v>1.3018180321032963E-2</v>
      </c>
      <c r="H16" s="23">
        <f>+'Demonstração de Resultados'!$G$31/Balanço!$G$31</f>
        <v>8.561181386526856E-2</v>
      </c>
      <c r="W16" s="77"/>
    </row>
    <row r="17" spans="1:23" x14ac:dyDescent="0.3">
      <c r="A17" s="127"/>
      <c r="B17" s="127"/>
      <c r="C17" s="31" t="s">
        <v>139</v>
      </c>
      <c r="D17" s="38" t="e">
        <f>+'Dados do Setor'!C9/'Dados do Setor'!C10</f>
        <v>#DIV/0!</v>
      </c>
      <c r="E17" s="39">
        <f>+'Dados do Setor'!D9/'Dados do Setor'!D10</f>
        <v>5.3182674199623352E-2</v>
      </c>
      <c r="F17" s="39">
        <f>+'Dados do Setor'!E9/'Dados do Setor'!E10</f>
        <v>8.1814801041279282E-3</v>
      </c>
      <c r="G17" s="39">
        <f>+'Dados do Setor'!F9/'Dados do Setor'!F10</f>
        <v>9.6210995542347702E-3</v>
      </c>
      <c r="H17" s="39">
        <f>+'Dados do Setor'!$G$9/'Dados do Setor'!$G$10</f>
        <v>7.1578947368421048E-2</v>
      </c>
      <c r="W17" s="77"/>
    </row>
    <row r="18" spans="1:23" x14ac:dyDescent="0.3">
      <c r="A18" s="128"/>
      <c r="B18" s="128"/>
      <c r="C18" s="32" t="s">
        <v>157</v>
      </c>
      <c r="D18" s="40" t="e">
        <f>+D16-D17</f>
        <v>#DIV/0!</v>
      </c>
      <c r="E18" s="40">
        <f>+E16-E17</f>
        <v>1.3733758159070013E-2</v>
      </c>
      <c r="F18" s="40">
        <f>+F16-F17</f>
        <v>5.9557067413014537E-2</v>
      </c>
      <c r="G18" s="40">
        <f>+G16-G17</f>
        <v>3.3970807667981929E-3</v>
      </c>
      <c r="H18" s="40">
        <f>+$H$16-$H$17</f>
        <v>1.4032866496847513E-2</v>
      </c>
      <c r="W18" s="77"/>
    </row>
    <row r="19" spans="1:23" x14ac:dyDescent="0.3">
      <c r="W19" s="77"/>
    </row>
    <row r="20" spans="1:23" x14ac:dyDescent="0.3">
      <c r="W20" s="77"/>
    </row>
    <row r="21" spans="1:23" x14ac:dyDescent="0.3">
      <c r="W21" s="77"/>
    </row>
    <row r="22" spans="1:23" x14ac:dyDescent="0.3">
      <c r="W22" s="77"/>
    </row>
    <row r="23" spans="1:23" x14ac:dyDescent="0.3">
      <c r="W23" s="77"/>
    </row>
    <row r="24" spans="1:23" x14ac:dyDescent="0.3">
      <c r="W24" s="77"/>
    </row>
  </sheetData>
  <mergeCells count="11">
    <mergeCell ref="A10:A12"/>
    <mergeCell ref="B10:B12"/>
    <mergeCell ref="A13:A15"/>
    <mergeCell ref="B13:B15"/>
    <mergeCell ref="A16:A18"/>
    <mergeCell ref="B16:B18"/>
    <mergeCell ref="A2:H2"/>
    <mergeCell ref="A4:A6"/>
    <mergeCell ref="B4:B6"/>
    <mergeCell ref="A7:A9"/>
    <mergeCell ref="B7:B9"/>
  </mergeCells>
  <dataValidations disablePrompts="1" count="1">
    <dataValidation type="list" allowBlank="1" showInputMessage="1" showErrorMessage="1" sqref="V6" xr:uid="{11751F70-2F1B-4F62-AD4B-34AAC9025285}">
      <formula1>$A$4:$A$18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3E32-1728-4DD2-8066-9F2ED767A4A0}">
  <sheetPr codeName="Folha7"/>
  <dimension ref="A2:J25"/>
  <sheetViews>
    <sheetView topLeftCell="A19" zoomScale="70" zoomScaleNormal="70" workbookViewId="0">
      <selection activeCell="U51" sqref="U51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10" x14ac:dyDescent="0.3">
      <c r="A2" s="116"/>
      <c r="B2" s="116"/>
      <c r="C2" s="116"/>
      <c r="D2" s="116"/>
      <c r="E2" s="116"/>
      <c r="F2" s="116"/>
      <c r="G2" s="116"/>
      <c r="H2" s="116"/>
    </row>
    <row r="3" spans="1:10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10" x14ac:dyDescent="0.3">
      <c r="A4" s="129" t="s">
        <v>161</v>
      </c>
      <c r="B4" s="129"/>
      <c r="C4" s="129"/>
      <c r="D4" s="129"/>
      <c r="E4" s="129"/>
      <c r="F4" s="129"/>
      <c r="G4" s="129"/>
      <c r="H4" s="129"/>
    </row>
    <row r="5" spans="1:10" x14ac:dyDescent="0.3">
      <c r="A5" s="126" t="s">
        <v>101</v>
      </c>
      <c r="B5" s="126" t="s">
        <v>106</v>
      </c>
      <c r="C5" s="21" t="s">
        <v>138</v>
      </c>
      <c r="D5" s="23">
        <f>+'Demonstração de Resultados'!C5/Balanço!C31</f>
        <v>1.0514118282264067</v>
      </c>
      <c r="E5" s="23">
        <f>+'Demonstração de Resultados'!D5/Balanço!D31</f>
        <v>0.94361798402098129</v>
      </c>
      <c r="F5" s="23">
        <f>+'Demonstração de Resultados'!E5/Balanço!E31</f>
        <v>0.98222446279260833</v>
      </c>
      <c r="G5" s="23">
        <f>+'Demonstração de Resultados'!F5/Balanço!F31</f>
        <v>0.64856078107262993</v>
      </c>
      <c r="H5" s="23">
        <f>+'Demonstração de Resultados'!G5/Balanço!G31</f>
        <v>0.86157394393290576</v>
      </c>
    </row>
    <row r="6" spans="1:10" x14ac:dyDescent="0.3">
      <c r="A6" s="127"/>
      <c r="B6" s="127"/>
      <c r="C6" s="31" t="s">
        <v>139</v>
      </c>
      <c r="D6" s="39" t="e">
        <f>+'Dados do Setor'!C4/'Dados do Setor'!C10</f>
        <v>#DIV/0!</v>
      </c>
      <c r="E6" s="39">
        <f>+'Dados do Setor'!D4/'Dados do Setor'!D10</f>
        <v>1.272316384180791</v>
      </c>
      <c r="F6" s="39">
        <f>+'Dados do Setor'!E4/'Dados do Setor'!E10</f>
        <v>1.0565265898103384</v>
      </c>
      <c r="G6" s="39">
        <f>+'Dados do Setor'!F4/'Dados do Setor'!F10</f>
        <v>0.93722139673105498</v>
      </c>
      <c r="H6" s="39">
        <f>+'Dados do Setor'!G4/'Dados do Setor'!G10</f>
        <v>1.6210526315789473</v>
      </c>
    </row>
    <row r="7" spans="1:10" x14ac:dyDescent="0.3">
      <c r="A7" s="128"/>
      <c r="B7" s="128"/>
      <c r="C7" s="32" t="s">
        <v>157</v>
      </c>
      <c r="D7" s="40" t="e">
        <f>+D5-D6</f>
        <v>#DIV/0!</v>
      </c>
      <c r="E7" s="40">
        <f>+E5-E6</f>
        <v>-0.32869840015980967</v>
      </c>
      <c r="F7" s="40">
        <f>+F5-F6</f>
        <v>-7.4302127017730091E-2</v>
      </c>
      <c r="G7" s="40">
        <f>+G5-G6</f>
        <v>-0.28866061565842505</v>
      </c>
      <c r="H7" s="40">
        <f>+H5-H6</f>
        <v>-0.75947868764604154</v>
      </c>
      <c r="J7" s="77"/>
    </row>
    <row r="8" spans="1:10" x14ac:dyDescent="0.3">
      <c r="A8" s="126" t="s">
        <v>109</v>
      </c>
      <c r="B8" s="126" t="s">
        <v>107</v>
      </c>
      <c r="C8" s="21" t="s">
        <v>138</v>
      </c>
      <c r="D8" s="23">
        <f>+'Demonstração de Resultados'!C12/'Demonstração de Resultados'!C5</f>
        <v>0.23302754026037881</v>
      </c>
      <c r="E8" s="23">
        <f>+'Demonstração de Resultados'!D12/'Demonstração de Resultados'!D5</f>
        <v>0.23905654424290027</v>
      </c>
      <c r="F8" s="23">
        <f>+'Demonstração de Resultados'!E12/'Demonstração de Resultados'!E5</f>
        <v>0.22054066073336789</v>
      </c>
      <c r="G8" s="23">
        <f>+'Demonstração de Resultados'!F12/'Demonstração de Resultados'!F5</f>
        <v>0.2344247476391596</v>
      </c>
      <c r="H8" s="23">
        <f>+'Demonstração de Resultados'!G12/'Demonstração de Resultados'!G5</f>
        <v>0.20130980104280588</v>
      </c>
    </row>
    <row r="9" spans="1:10" x14ac:dyDescent="0.3">
      <c r="A9" s="127"/>
      <c r="B9" s="127"/>
      <c r="C9" s="31" t="s">
        <v>139</v>
      </c>
      <c r="D9" s="39" t="e">
        <f>+'Dados do Setor'!C7/'Dados do Setor'!C4</f>
        <v>#DIV/0!</v>
      </c>
      <c r="E9" s="39">
        <f>+'Dados do Setor'!D7/'Dados do Setor'!D4</f>
        <v>5.1213735938425105E-2</v>
      </c>
      <c r="F9" s="39">
        <f>+'Dados do Setor'!E7/'Dados do Setor'!E4</f>
        <v>6.4378739880323832E-2</v>
      </c>
      <c r="G9" s="39">
        <f>+'Dados do Setor'!F7/'Dados do Setor'!F4</f>
        <v>7.043202536662703E-2</v>
      </c>
      <c r="H9" s="39">
        <f>+'Dados do Setor'!G7/'Dados do Setor'!G4</f>
        <v>4.3268398268398268E-2</v>
      </c>
    </row>
    <row r="10" spans="1:10" x14ac:dyDescent="0.3">
      <c r="A10" s="128"/>
      <c r="B10" s="128"/>
      <c r="C10" s="32" t="s">
        <v>157</v>
      </c>
      <c r="D10" s="40" t="e">
        <f>+D8-D9</f>
        <v>#DIV/0!</v>
      </c>
      <c r="E10" s="40">
        <f>+E8-E9</f>
        <v>0.18784280830447517</v>
      </c>
      <c r="F10" s="40">
        <f>+F8-F9</f>
        <v>0.15616192085304406</v>
      </c>
      <c r="G10" s="40">
        <f>+G8-G9</f>
        <v>0.16399272227253259</v>
      </c>
      <c r="H10" s="40">
        <f>+H8-H9</f>
        <v>0.15804140277440762</v>
      </c>
    </row>
    <row r="11" spans="1:10" x14ac:dyDescent="0.3">
      <c r="A11" s="126" t="s">
        <v>110</v>
      </c>
      <c r="B11" s="126" t="s">
        <v>108</v>
      </c>
      <c r="C11" s="21" t="s">
        <v>138</v>
      </c>
      <c r="D11" s="23">
        <f>+'Demonstração de Resultados'!C11/'Demonstração de Resultados'!C5</f>
        <v>8.6147442214230194E-2</v>
      </c>
      <c r="E11" s="23">
        <f>+'Demonstração de Resultados'!D11/'Demonstração de Resultados'!D5</f>
        <v>8.7179918050274086E-2</v>
      </c>
      <c r="F11" s="23">
        <f>+'Demonstração de Resultados'!E11/'Demonstração de Resultados'!E5</f>
        <v>9.2108303554561219E-2</v>
      </c>
      <c r="G11" s="23">
        <f>+'Demonstração de Resultados'!F11/'Demonstração de Resultados'!F5</f>
        <v>0.12904371320848471</v>
      </c>
      <c r="H11" s="23">
        <f>+'Demonstração de Resultados'!G11/'Demonstração de Resultados'!G5</f>
        <v>9.99016672698885E-2</v>
      </c>
    </row>
    <row r="12" spans="1:10" x14ac:dyDescent="0.3">
      <c r="A12" s="127"/>
      <c r="B12" s="127"/>
      <c r="C12" s="31" t="s">
        <v>139</v>
      </c>
      <c r="D12" s="39" t="e">
        <f>+'Dados do Setor'!C8/'Dados do Setor'!C4</f>
        <v>#DIV/0!</v>
      </c>
      <c r="E12" s="39">
        <f>+'Dados do Setor'!D8/'Dados do Setor'!D4</f>
        <v>9.5441089402013027E-2</v>
      </c>
      <c r="F12" s="39">
        <f>+'Dados do Setor'!E8/'Dados do Setor'!E4</f>
        <v>0.10566701865540302</v>
      </c>
      <c r="G12" s="39">
        <f>+'Dados do Setor'!F8/'Dados do Setor'!F4</f>
        <v>0.11236623067776456</v>
      </c>
      <c r="H12" s="39">
        <f>+'Dados do Setor'!G8/'Dados do Setor'!G4</f>
        <v>7.7532467532467536E-2</v>
      </c>
    </row>
    <row r="13" spans="1:10" x14ac:dyDescent="0.3">
      <c r="A13" s="128"/>
      <c r="B13" s="128"/>
      <c r="C13" s="32" t="s">
        <v>157</v>
      </c>
      <c r="D13" s="40" t="e">
        <f>+D11-D12</f>
        <v>#DIV/0!</v>
      </c>
      <c r="E13" s="40">
        <f>+E11-E12</f>
        <v>-8.2611713517389412E-3</v>
      </c>
      <c r="F13" s="40">
        <f>+F11-F12</f>
        <v>-1.3558715100841806E-2</v>
      </c>
      <c r="G13" s="40">
        <f>+G11-G12</f>
        <v>1.6677482530720142E-2</v>
      </c>
      <c r="H13" s="40">
        <f>+H11-H12</f>
        <v>2.2369199737420964E-2</v>
      </c>
    </row>
    <row r="14" spans="1:10" x14ac:dyDescent="0.3">
      <c r="A14" s="126" t="s">
        <v>112</v>
      </c>
      <c r="B14" s="126" t="s">
        <v>113</v>
      </c>
      <c r="C14" s="21" t="s">
        <v>138</v>
      </c>
      <c r="D14" s="23">
        <f>+'Demonstração de Resultados'!C10/'Demonstração de Resultados'!C5</f>
        <v>0.57901135381679703</v>
      </c>
      <c r="E14" s="23">
        <f>+'Demonstração de Resultados'!D10/'Demonstração de Resultados'!D5</f>
        <v>0.61568640058027657</v>
      </c>
      <c r="F14" s="23">
        <f>+'Demonstração de Resultados'!E10/'Demonstração de Resultados'!E5</f>
        <v>0.57805689681579864</v>
      </c>
      <c r="G14" s="23">
        <f>+'Demonstração de Resultados'!F10/'Demonstração de Resultados'!F5</f>
        <v>0.59523046592923312</v>
      </c>
      <c r="H14" s="23">
        <f>+'Demonstração de Resultados'!G10/'Demonstração de Resultados'!G5</f>
        <v>0.55048924793782905</v>
      </c>
    </row>
    <row r="15" spans="1:10" x14ac:dyDescent="0.3">
      <c r="A15" s="127"/>
      <c r="B15" s="127"/>
      <c r="C15" s="31" t="s">
        <v>139</v>
      </c>
      <c r="D15" s="39" t="e">
        <f>+'Dados do Setor'!C6/'Dados do Setor'!C4</f>
        <v>#DIV/0!</v>
      </c>
      <c r="E15" s="39">
        <f>+'Dados do Setor'!D6/'Dados do Setor'!D4</f>
        <v>0.79899348727057429</v>
      </c>
      <c r="F15" s="39">
        <f>+'Dados do Setor'!E6/'Dados do Setor'!E4</f>
        <v>0.80851812741992257</v>
      </c>
      <c r="G15" s="39">
        <f>+'Dados do Setor'!F6/'Dados do Setor'!F4</f>
        <v>0.73602853745541019</v>
      </c>
      <c r="H15" s="39">
        <f>+'Dados do Setor'!G6/'Dados do Setor'!G4</f>
        <v>0.79653679653679654</v>
      </c>
    </row>
    <row r="16" spans="1:10" x14ac:dyDescent="0.3">
      <c r="A16" s="128"/>
      <c r="B16" s="128"/>
      <c r="C16" s="32" t="s">
        <v>157</v>
      </c>
      <c r="D16" s="40" t="e">
        <f>+D14-D15</f>
        <v>#DIV/0!</v>
      </c>
      <c r="E16" s="40">
        <f>+E14-E15</f>
        <v>-0.18330708669029772</v>
      </c>
      <c r="F16" s="40">
        <f>+F14-F15</f>
        <v>-0.23046123060412393</v>
      </c>
      <c r="G16" s="40">
        <f>+G14-G15</f>
        <v>-0.14079807152617707</v>
      </c>
      <c r="H16" s="40">
        <f>+H14-H15</f>
        <v>-0.24604754859896749</v>
      </c>
    </row>
    <row r="17" spans="1:8" x14ac:dyDescent="0.3">
      <c r="A17" s="126" t="s">
        <v>111</v>
      </c>
      <c r="B17" s="126" t="s">
        <v>105</v>
      </c>
      <c r="C17" s="21" t="s">
        <v>138</v>
      </c>
      <c r="D17" s="23">
        <f>+('Demonstração de Resultados'!C10+'Demonstração de Resultados'!C11+'Demonstração de Resultados'!C12)/'Demonstração de Resultados'!C5</f>
        <v>0.8981863362914061</v>
      </c>
      <c r="E17" s="23">
        <f>+('Demonstração de Resultados'!D10+'Demonstração de Resultados'!D11+'Demonstração de Resultados'!D12)/'Demonstração de Resultados'!D5</f>
        <v>0.94192286287345095</v>
      </c>
      <c r="F17" s="23">
        <f>+('Demonstração de Resultados'!E10+'Demonstração de Resultados'!E11+'Demonstração de Resultados'!E12)/'Demonstração de Resultados'!E5</f>
        <v>0.89070586110372774</v>
      </c>
      <c r="G17" s="23">
        <f>+('Demonstração de Resultados'!F10+'Demonstração de Resultados'!F11+'Demonstração de Resultados'!F12)/'Demonstração de Resultados'!F5</f>
        <v>0.95869892677687751</v>
      </c>
      <c r="H17" s="23">
        <f>+('Demonstração de Resultados'!G10+'Demonstração de Resultados'!G11+'Demonstração de Resultados'!G12)/'Demonstração de Resultados'!G5</f>
        <v>0.85170071625052346</v>
      </c>
    </row>
    <row r="18" spans="1:8" x14ac:dyDescent="0.3">
      <c r="A18" s="127"/>
      <c r="B18" s="127"/>
      <c r="C18" s="31" t="s">
        <v>139</v>
      </c>
      <c r="D18" s="39" t="e">
        <f>+('Dados do Setor'!C6+'Dados do Setor'!C7+'Dados do Setor'!C8)/'Dados do Setor'!C4</f>
        <v>#DIV/0!</v>
      </c>
      <c r="E18" s="39">
        <f>+('Dados do Setor'!D6+'Dados do Setor'!D7+'Dados do Setor'!D8)/'Dados do Setor'!D4</f>
        <v>0.94564831261101245</v>
      </c>
      <c r="F18" s="39">
        <f>+('Dados do Setor'!E6+'Dados do Setor'!E7+'Dados do Setor'!E8)/'Dados do Setor'!E4</f>
        <v>0.97856388595564947</v>
      </c>
      <c r="G18" s="39">
        <f>+('Dados do Setor'!F6+'Dados do Setor'!F7+'Dados do Setor'!F8)/'Dados do Setor'!F4</f>
        <v>0.91882679349980179</v>
      </c>
      <c r="H18" s="39">
        <f>+('Dados do Setor'!G6+'Dados do Setor'!G7+'Dados do Setor'!G8)/'Dados do Setor'!G4</f>
        <v>0.91733766233766234</v>
      </c>
    </row>
    <row r="19" spans="1:8" x14ac:dyDescent="0.3">
      <c r="A19" s="128"/>
      <c r="B19" s="128"/>
      <c r="C19" s="32" t="s">
        <v>157</v>
      </c>
      <c r="D19" s="40" t="e">
        <f>+D17-D18</f>
        <v>#DIV/0!</v>
      </c>
      <c r="E19" s="40">
        <f>+E17-E18</f>
        <v>-3.7254497375615037E-3</v>
      </c>
      <c r="F19" s="40">
        <f>+F17-F18</f>
        <v>-8.7858024851921734E-2</v>
      </c>
      <c r="G19" s="40">
        <f>+G17-G18</f>
        <v>3.9872133277075728E-2</v>
      </c>
      <c r="H19" s="40">
        <f>+H17-H18</f>
        <v>-6.5636946087138881E-2</v>
      </c>
    </row>
    <row r="20" spans="1:8" x14ac:dyDescent="0.3">
      <c r="A20" s="126" t="s">
        <v>114</v>
      </c>
      <c r="B20" s="126" t="s">
        <v>116</v>
      </c>
      <c r="C20" s="21" t="s">
        <v>138</v>
      </c>
      <c r="D20" s="29">
        <f>+(Balanço!C55/(('Demonstração de Resultados'!C10+'Demonstração de Resultados'!C11)*1.23))*365</f>
        <v>64.441929962468592</v>
      </c>
      <c r="E20" s="29">
        <f>+(Balanço!D55/(('Demonstração de Resultados'!D10+'Demonstração de Resultados'!D11)*1.23))*365</f>
        <v>53.528273552540981</v>
      </c>
      <c r="F20" s="29">
        <f>+(Balanço!E55/(('Demonstração de Resultados'!E10+'Demonstração de Resultados'!E11)*1.23))*365</f>
        <v>41.743900420711832</v>
      </c>
      <c r="G20" s="29">
        <f>+(Balanço!F55/(('Demonstração de Resultados'!F10+'Demonstração de Resultados'!F11)*1.23))*365</f>
        <v>83.322624516067137</v>
      </c>
      <c r="H20" s="29">
        <f>+(Balanço!G55/(('Demonstração de Resultados'!G10+'Demonstração de Resultados'!G11)*1.23))*365</f>
        <v>54.06430636326192</v>
      </c>
    </row>
    <row r="21" spans="1:8" x14ac:dyDescent="0.3">
      <c r="A21" s="127"/>
      <c r="B21" s="127"/>
      <c r="C21" s="31" t="s">
        <v>139</v>
      </c>
      <c r="D21" s="33">
        <f>+'Dados do Setor'!C22</f>
        <v>0</v>
      </c>
      <c r="E21" s="33">
        <f>+'Dados do Setor'!D22</f>
        <v>34</v>
      </c>
      <c r="F21" s="33">
        <f>+'Dados do Setor'!E22</f>
        <v>37</v>
      </c>
      <c r="G21" s="33">
        <f>+'Dados do Setor'!F22</f>
        <v>40</v>
      </c>
      <c r="H21" s="33">
        <f>+'Dados do Setor'!G22</f>
        <v>25</v>
      </c>
    </row>
    <row r="22" spans="1:8" x14ac:dyDescent="0.3">
      <c r="A22" s="128"/>
      <c r="B22" s="128"/>
      <c r="C22" s="32" t="s">
        <v>157</v>
      </c>
      <c r="D22" s="34">
        <f>+D20-D21</f>
        <v>64.441929962468592</v>
      </c>
      <c r="E22" s="34">
        <f>+E20-E21</f>
        <v>19.528273552540981</v>
      </c>
      <c r="F22" s="34">
        <f>+F20-F21</f>
        <v>4.7439004207118316</v>
      </c>
      <c r="G22" s="34">
        <f>+G20-G21</f>
        <v>43.322624516067137</v>
      </c>
      <c r="H22" s="34">
        <f>+H20-H21</f>
        <v>29.06430636326192</v>
      </c>
    </row>
    <row r="23" spans="1:8" x14ac:dyDescent="0.3">
      <c r="A23" s="126" t="s">
        <v>115</v>
      </c>
      <c r="B23" s="126" t="s">
        <v>117</v>
      </c>
      <c r="C23" s="21" t="s">
        <v>138</v>
      </c>
      <c r="D23" s="29">
        <f>+(Balanço!C20/('Demonstração de Resultados'!C5*1.23))*365</f>
        <v>54.73664247762698</v>
      </c>
      <c r="E23" s="29">
        <f>+(Balanço!D20/('Demonstração de Resultados'!D5*1.23))*365</f>
        <v>40.050145350812791</v>
      </c>
      <c r="F23" s="29">
        <f>+(Balanço!E20/('Demonstração de Resultados'!E5*1.23))*365</f>
        <v>52.354435125686585</v>
      </c>
      <c r="G23" s="29">
        <f>+(Balanço!F20/('Demonstração de Resultados'!F5*1.23))*365</f>
        <v>65.047193907417494</v>
      </c>
      <c r="H23" s="29">
        <f>+(Balanço!G20/('Demonstração de Resultados'!G5*1.23))*365</f>
        <v>58.301957775141851</v>
      </c>
    </row>
    <row r="24" spans="1:8" x14ac:dyDescent="0.3">
      <c r="A24" s="127"/>
      <c r="B24" s="127"/>
      <c r="C24" s="31" t="s">
        <v>139</v>
      </c>
      <c r="D24" s="33">
        <f>+'Dados do Setor'!C23</f>
        <v>0</v>
      </c>
      <c r="E24" s="33">
        <f>+'Dados do Setor'!D23</f>
        <v>34</v>
      </c>
      <c r="F24" s="33">
        <f>+'Dados do Setor'!E23</f>
        <v>42</v>
      </c>
      <c r="G24" s="33">
        <f>+'Dados do Setor'!F23</f>
        <v>50</v>
      </c>
      <c r="H24" s="33">
        <f>+'Dados do Setor'!G23</f>
        <v>33</v>
      </c>
    </row>
    <row r="25" spans="1:8" x14ac:dyDescent="0.3">
      <c r="A25" s="128"/>
      <c r="B25" s="128"/>
      <c r="C25" s="32" t="s">
        <v>157</v>
      </c>
      <c r="D25" s="34">
        <f>+D23-D24</f>
        <v>54.73664247762698</v>
      </c>
      <c r="E25" s="34">
        <f>+E23-E24</f>
        <v>6.0501453508127909</v>
      </c>
      <c r="F25" s="34">
        <f>+F23-F24</f>
        <v>10.354435125686585</v>
      </c>
      <c r="G25" s="34">
        <f>+G23-G24</f>
        <v>15.047193907417494</v>
      </c>
      <c r="H25" s="34">
        <f>+H23-H24</f>
        <v>25.301957775141851</v>
      </c>
    </row>
  </sheetData>
  <mergeCells count="16">
    <mergeCell ref="A11:A13"/>
    <mergeCell ref="B11:B13"/>
    <mergeCell ref="A2:H2"/>
    <mergeCell ref="A4:H4"/>
    <mergeCell ref="A5:A7"/>
    <mergeCell ref="B5:B7"/>
    <mergeCell ref="A8:A10"/>
    <mergeCell ref="B8:B10"/>
    <mergeCell ref="A23:A25"/>
    <mergeCell ref="B23:B25"/>
    <mergeCell ref="A14:A16"/>
    <mergeCell ref="B14:B16"/>
    <mergeCell ref="A17:A19"/>
    <mergeCell ref="B17:B19"/>
    <mergeCell ref="A20:A22"/>
    <mergeCell ref="B20:B2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B77C-EC77-4434-BE04-B965C0FF01A4}">
  <sheetPr codeName="Folha8"/>
  <dimension ref="A2:H13"/>
  <sheetViews>
    <sheetView topLeftCell="A10" workbookViewId="0">
      <selection activeCell="K60" sqref="K60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8" x14ac:dyDescent="0.3">
      <c r="A2" s="116"/>
      <c r="B2" s="116"/>
      <c r="C2" s="116"/>
      <c r="D2" s="116"/>
      <c r="E2" s="116"/>
      <c r="F2" s="116"/>
      <c r="G2" s="116"/>
      <c r="H2" s="116"/>
    </row>
    <row r="3" spans="1:8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3">
      <c r="A4" s="129" t="s">
        <v>118</v>
      </c>
      <c r="B4" s="129"/>
      <c r="C4" s="129"/>
      <c r="D4" s="129"/>
      <c r="E4" s="129"/>
      <c r="F4" s="129"/>
      <c r="G4" s="129"/>
      <c r="H4" s="129"/>
    </row>
    <row r="5" spans="1:8" x14ac:dyDescent="0.3">
      <c r="A5" s="126" t="s">
        <v>119</v>
      </c>
      <c r="B5" s="126" t="s">
        <v>120</v>
      </c>
      <c r="C5" s="21" t="s">
        <v>138</v>
      </c>
      <c r="D5" s="23">
        <f>+Balanço!C17/Balanço!C54</f>
        <v>3.3279040817841121</v>
      </c>
      <c r="E5" s="23">
        <f>+Balanço!D17/Balanço!D54</f>
        <v>3.6921379687761524</v>
      </c>
      <c r="F5" s="23">
        <f>+Balanço!E17/Balanço!E54</f>
        <v>3.3108491065906649</v>
      </c>
      <c r="G5" s="23">
        <f>+Balanço!F17/Balanço!F54</f>
        <v>1.550896543398441</v>
      </c>
      <c r="H5" s="23">
        <f>+Balanço!G17/Balanço!G54</f>
        <v>2.6558340888656571</v>
      </c>
    </row>
    <row r="6" spans="1:8" x14ac:dyDescent="0.3">
      <c r="A6" s="127"/>
      <c r="B6" s="127"/>
      <c r="C6" s="31" t="s">
        <v>139</v>
      </c>
      <c r="D6" s="39" t="e">
        <f>+'Dados do Setor'!C13/'Dados do Setor'!C14</f>
        <v>#DIV/0!</v>
      </c>
      <c r="E6" s="39">
        <f>+'Dados do Setor'!D13/'Dados do Setor'!D14</f>
        <v>1.2043758306921584</v>
      </c>
      <c r="F6" s="39">
        <f>+'Dados do Setor'!E13/'Dados do Setor'!E14</f>
        <v>1.7055499203014055</v>
      </c>
      <c r="G6" s="39">
        <f>+'Dados do Setor'!F13/'Dados do Setor'!F14</f>
        <v>1.7434562987907547</v>
      </c>
      <c r="H6" s="39">
        <f>+'Dados do Setor'!G13/'Dados do Setor'!G14</f>
        <v>1.7176030962231417</v>
      </c>
    </row>
    <row r="7" spans="1:8" x14ac:dyDescent="0.3">
      <c r="A7" s="128"/>
      <c r="B7" s="128"/>
      <c r="C7" s="32" t="s">
        <v>157</v>
      </c>
      <c r="D7" s="40" t="e">
        <f>+D5-D6</f>
        <v>#DIV/0!</v>
      </c>
      <c r="E7" s="40">
        <f>+E5-E6</f>
        <v>2.487762138083994</v>
      </c>
      <c r="F7" s="40">
        <f>+F5-F6</f>
        <v>1.6052991862892594</v>
      </c>
      <c r="G7" s="40">
        <f>+G5-G6</f>
        <v>-0.19255975539231374</v>
      </c>
      <c r="H7" s="40">
        <f>+H5-H6</f>
        <v>0.93823099264251542</v>
      </c>
    </row>
    <row r="8" spans="1:8" x14ac:dyDescent="0.3">
      <c r="A8" s="126" t="s">
        <v>121</v>
      </c>
      <c r="B8" s="126" t="s">
        <v>122</v>
      </c>
      <c r="C8" s="21" t="s">
        <v>138</v>
      </c>
      <c r="D8" s="23">
        <f>+(Balanço!C17-Balanço!C18)/Balanço!C54</f>
        <v>2.9005202723168235</v>
      </c>
      <c r="E8" s="23">
        <f>+(Balanço!D17-Balanço!D18)/Balanço!D54</f>
        <v>3.1273952380375549</v>
      </c>
      <c r="F8" s="23">
        <f>+(Balanço!E17-Balanço!E18)/Balanço!E54</f>
        <v>2.9256799146473753</v>
      </c>
      <c r="G8" s="23">
        <f>+(Balanço!F17-Balanço!F18)/Balanço!F54</f>
        <v>1.3400343112494026</v>
      </c>
      <c r="H8" s="23">
        <f>+(Balanço!G17-Balanço!G18)/Balanço!G54</f>
        <v>1.6745807490337179</v>
      </c>
    </row>
    <row r="9" spans="1:8" x14ac:dyDescent="0.3">
      <c r="A9" s="127"/>
      <c r="B9" s="127"/>
      <c r="C9" s="31" t="s">
        <v>139</v>
      </c>
      <c r="D9" s="39" t="e">
        <f>+('Dados do Setor'!C13-'Dados do Setor'!C17)/'Dados do Setor'!C14</f>
        <v>#DIV/0!</v>
      </c>
      <c r="E9" s="39">
        <f>+('Dados do Setor'!D13-'Dados do Setor'!D17)/'Dados do Setor'!D14</f>
        <v>0.72293221551988551</v>
      </c>
      <c r="F9" s="39">
        <f>+('Dados do Setor'!E13-'Dados do Setor'!E17)/'Dados do Setor'!E14</f>
        <v>0.9605854224025504</v>
      </c>
      <c r="G9" s="39">
        <f>+('Dados do Setor'!F13-'Dados do Setor'!F17)/'Dados do Setor'!F14</f>
        <v>1.1397520281647022</v>
      </c>
      <c r="H9" s="39">
        <f>+('Dados do Setor'!G13-'Dados do Setor'!G17)/'Dados do Setor'!G14</f>
        <v>1.2762578406512746</v>
      </c>
    </row>
    <row r="10" spans="1:8" x14ac:dyDescent="0.3">
      <c r="A10" s="128"/>
      <c r="B10" s="128"/>
      <c r="C10" s="32" t="s">
        <v>157</v>
      </c>
      <c r="D10" s="40" t="e">
        <f>+D8-D9</f>
        <v>#DIV/0!</v>
      </c>
      <c r="E10" s="40">
        <f>+E8-E9</f>
        <v>2.4044630225176693</v>
      </c>
      <c r="F10" s="40">
        <f>+F8-F9</f>
        <v>1.965094492244825</v>
      </c>
      <c r="G10" s="40">
        <f>+G8-G9</f>
        <v>0.20028228308470042</v>
      </c>
      <c r="H10" s="40">
        <f>+H8-H9</f>
        <v>0.39832290838244333</v>
      </c>
    </row>
    <row r="11" spans="1:8" x14ac:dyDescent="0.3">
      <c r="A11" s="126" t="s">
        <v>123</v>
      </c>
      <c r="B11" s="126" t="s">
        <v>124</v>
      </c>
      <c r="C11" s="21" t="s">
        <v>138</v>
      </c>
      <c r="D11" s="23">
        <f>+Balanço!C30/Balanço!C54</f>
        <v>1.0688846665751894</v>
      </c>
      <c r="E11" s="23">
        <f>+Balanço!D30/Balanço!D54</f>
        <v>1.5355406804137075</v>
      </c>
      <c r="F11" s="23">
        <f>+Balanço!E30/Balanço!E54</f>
        <v>1.2045406373130232</v>
      </c>
      <c r="G11" s="23">
        <f>+Balanço!F30/Balanço!F54</f>
        <v>0.37435502549748656</v>
      </c>
      <c r="H11" s="23">
        <f>+Balanço!G30/Balanço!G54</f>
        <v>0.24765140991901755</v>
      </c>
    </row>
    <row r="12" spans="1:8" x14ac:dyDescent="0.3">
      <c r="A12" s="127"/>
      <c r="B12" s="127"/>
      <c r="C12" s="31" t="s">
        <v>139</v>
      </c>
      <c r="D12" s="39" t="e">
        <f>+'Dados do Setor'!C18/'Dados do Setor'!C14</f>
        <v>#DIV/0!</v>
      </c>
      <c r="E12" s="39">
        <f>+'Dados do Setor'!D18/'Dados do Setor'!D14</f>
        <v>0.16020856763112157</v>
      </c>
      <c r="F12" s="39">
        <f>+'Dados do Setor'!E18/'Dados do Setor'!E14</f>
        <v>0.18229242138820462</v>
      </c>
      <c r="G12" s="39">
        <f>+'Dados do Setor'!F18/'Dados do Setor'!F14</f>
        <v>0.25516607990203583</v>
      </c>
      <c r="H12" s="39">
        <f>+'Dados do Setor'!G18/'Dados do Setor'!G14</f>
        <v>0.43093553983718136</v>
      </c>
    </row>
    <row r="13" spans="1:8" x14ac:dyDescent="0.3">
      <c r="A13" s="128"/>
      <c r="B13" s="128"/>
      <c r="C13" s="32" t="s">
        <v>157</v>
      </c>
      <c r="D13" s="40" t="e">
        <f>+D11-D12</f>
        <v>#DIV/0!</v>
      </c>
      <c r="E13" s="40">
        <f>+E11-E12</f>
        <v>1.3753321127825859</v>
      </c>
      <c r="F13" s="40">
        <f>+F11-F12</f>
        <v>1.0222482159248185</v>
      </c>
      <c r="G13" s="40">
        <f>+G11-G12</f>
        <v>0.11918894559545073</v>
      </c>
      <c r="H13" s="40">
        <f>+H11-H12</f>
        <v>-0.18328412991816381</v>
      </c>
    </row>
  </sheetData>
  <mergeCells count="8">
    <mergeCell ref="A2:H2"/>
    <mergeCell ref="A11:A13"/>
    <mergeCell ref="B11:B13"/>
    <mergeCell ref="A4:H4"/>
    <mergeCell ref="A5:A7"/>
    <mergeCell ref="B5:B7"/>
    <mergeCell ref="A8:A10"/>
    <mergeCell ref="B8:B10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12846-BBC7-405A-A649-74FFB2FC45D9}">
  <sheetPr codeName="Folha9"/>
  <dimension ref="A2:H16"/>
  <sheetViews>
    <sheetView topLeftCell="A7" workbookViewId="0">
      <selection activeCell="E15" sqref="E15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8" x14ac:dyDescent="0.3">
      <c r="A2" s="116"/>
      <c r="B2" s="116"/>
      <c r="C2" s="116"/>
      <c r="D2" s="116"/>
      <c r="E2" s="116"/>
      <c r="F2" s="116"/>
      <c r="G2" s="116"/>
      <c r="H2" s="116"/>
    </row>
    <row r="3" spans="1:8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3">
      <c r="A4" s="129" t="s">
        <v>125</v>
      </c>
      <c r="B4" s="129"/>
      <c r="C4" s="129"/>
      <c r="D4" s="129"/>
      <c r="E4" s="129"/>
      <c r="F4" s="129"/>
      <c r="G4" s="129"/>
      <c r="H4" s="129"/>
    </row>
    <row r="5" spans="1:8" x14ac:dyDescent="0.3">
      <c r="A5" s="126" t="s">
        <v>94</v>
      </c>
      <c r="B5" s="126" t="s">
        <v>126</v>
      </c>
      <c r="C5" s="21" t="s">
        <v>138</v>
      </c>
      <c r="D5" s="23">
        <f>+Balanço!C46/Balanço!C31</f>
        <v>0.68876843843847013</v>
      </c>
      <c r="E5" s="23">
        <f>+Balanço!D46/Balanço!D31</f>
        <v>0.73041885626901493</v>
      </c>
      <c r="F5" s="23">
        <f>+Balanço!E46/Balanço!E31</f>
        <v>0.75926150371354073</v>
      </c>
      <c r="G5" s="23">
        <f>+Balanço!F46/Balanço!F31</f>
        <v>0.56023880032518347</v>
      </c>
      <c r="H5" s="23">
        <f>+Balanço!G46/Balanço!G31</f>
        <v>0.5784485773339535</v>
      </c>
    </row>
    <row r="6" spans="1:8" x14ac:dyDescent="0.3">
      <c r="A6" s="127"/>
      <c r="B6" s="127"/>
      <c r="C6" s="31" t="s">
        <v>139</v>
      </c>
      <c r="D6" s="39" t="e">
        <f>+'Dados do Setor'!C12/'Dados do Setor'!C10</f>
        <v>#DIV/0!</v>
      </c>
      <c r="E6" s="39">
        <f>+'Dados do Setor'!D12/'Dados do Setor'!D10</f>
        <v>0.47909604519774013</v>
      </c>
      <c r="F6" s="39">
        <f>+'Dados do Setor'!E12/'Dados do Setor'!E10</f>
        <v>0.47192264782447008</v>
      </c>
      <c r="G6" s="39">
        <f>+'Dados do Setor'!F12/'Dados do Setor'!F10</f>
        <v>0.47622585438335807</v>
      </c>
      <c r="H6" s="39">
        <f>+'Dados do Setor'!G12/'Dados do Setor'!G10</f>
        <v>0.49754385964912279</v>
      </c>
    </row>
    <row r="7" spans="1:8" x14ac:dyDescent="0.3">
      <c r="A7" s="128"/>
      <c r="B7" s="128"/>
      <c r="C7" s="32" t="s">
        <v>157</v>
      </c>
      <c r="D7" s="40" t="e">
        <f>+D5-D6</f>
        <v>#DIV/0!</v>
      </c>
      <c r="E7" s="40">
        <f>+E5-E6</f>
        <v>0.2513228110712748</v>
      </c>
      <c r="F7" s="40">
        <f>+F5-F6</f>
        <v>0.28733885588907065</v>
      </c>
      <c r="G7" s="40">
        <f>+G5-G6</f>
        <v>8.4012945941825401E-2</v>
      </c>
      <c r="H7" s="40">
        <f>+H5-H6</f>
        <v>8.0904717684830707E-2</v>
      </c>
    </row>
    <row r="8" spans="1:8" x14ac:dyDescent="0.3">
      <c r="A8" s="126" t="s">
        <v>127</v>
      </c>
      <c r="B8" s="126" t="s">
        <v>128</v>
      </c>
      <c r="C8" s="21" t="s">
        <v>138</v>
      </c>
      <c r="D8" s="23">
        <f>+Balanço!C66/Balanço!C31</f>
        <v>0.31123156156152992</v>
      </c>
      <c r="E8" s="23">
        <f>+Balanço!D66/Balanço!D31</f>
        <v>0.26958114373098496</v>
      </c>
      <c r="F8" s="23">
        <f>+Balanço!E66/Balanço!E31</f>
        <v>0.24073849628645932</v>
      </c>
      <c r="G8" s="23">
        <f>+Balanço!F66/Balanço!F31</f>
        <v>0.43976119967481658</v>
      </c>
      <c r="H8" s="23">
        <f>+Balanço!G66/Balanço!G31</f>
        <v>0.42155142266604645</v>
      </c>
    </row>
    <row r="9" spans="1:8" x14ac:dyDescent="0.3">
      <c r="A9" s="127"/>
      <c r="B9" s="127"/>
      <c r="C9" s="31" t="s">
        <v>139</v>
      </c>
      <c r="D9" s="39" t="e">
        <f>+'Dados do Setor'!C11/'Dados do Setor'!C10</f>
        <v>#DIV/0!</v>
      </c>
      <c r="E9" s="39">
        <f>+'Dados do Setor'!D11/'Dados do Setor'!D10</f>
        <v>0.52090395480225993</v>
      </c>
      <c r="F9" s="39">
        <f>+'Dados do Setor'!E11/'Dados do Setor'!E10</f>
        <v>0.52807735217552998</v>
      </c>
      <c r="G9" s="39">
        <f>+'Dados do Setor'!F11/'Dados do Setor'!F10</f>
        <v>0.52377414561664193</v>
      </c>
      <c r="H9" s="39">
        <f>+'Dados do Setor'!G11/'Dados do Setor'!G10</f>
        <v>0.50245614035087716</v>
      </c>
    </row>
    <row r="10" spans="1:8" x14ac:dyDescent="0.3">
      <c r="A10" s="128"/>
      <c r="B10" s="128"/>
      <c r="C10" s="32" t="s">
        <v>157</v>
      </c>
      <c r="D10" s="40" t="e">
        <f>+D8-D9</f>
        <v>#DIV/0!</v>
      </c>
      <c r="E10" s="40">
        <f>+E8-E9</f>
        <v>-0.25132281107127497</v>
      </c>
      <c r="F10" s="40">
        <f>+F8-F9</f>
        <v>-0.28733885588907065</v>
      </c>
      <c r="G10" s="40">
        <f>+G8-G9</f>
        <v>-8.4012945941825345E-2</v>
      </c>
      <c r="H10" s="40">
        <f>+H8-H9</f>
        <v>-8.0904717684830707E-2</v>
      </c>
    </row>
    <row r="11" spans="1:8" x14ac:dyDescent="0.3">
      <c r="A11" s="126" t="s">
        <v>129</v>
      </c>
      <c r="B11" s="126" t="s">
        <v>130</v>
      </c>
      <c r="C11" s="21" t="s">
        <v>138</v>
      </c>
      <c r="D11" s="23">
        <f>+Balanço!C31/Balanço!C66</f>
        <v>3.2130417460965051</v>
      </c>
      <c r="E11" s="23">
        <f>+Balanço!D31/Balanço!D66</f>
        <v>3.7094582586900069</v>
      </c>
      <c r="F11" s="23">
        <f>+Balanço!E31/Balanço!E66</f>
        <v>4.1538848810041626</v>
      </c>
      <c r="G11" s="23">
        <f>+Balanço!F31/Balanço!F66</f>
        <v>2.273961415285056</v>
      </c>
      <c r="H11" s="23">
        <f>+Balanço!G31/Balanço!G66</f>
        <v>2.3721898355261897</v>
      </c>
    </row>
    <row r="12" spans="1:8" x14ac:dyDescent="0.3">
      <c r="A12" s="127"/>
      <c r="B12" s="127"/>
      <c r="C12" s="31" t="s">
        <v>139</v>
      </c>
      <c r="D12" s="39" t="e">
        <f>+'Dados do Setor'!C10/'Dados do Setor'!C11</f>
        <v>#DIV/0!</v>
      </c>
      <c r="E12" s="39">
        <f>+'Dados do Setor'!D10/'Dados do Setor'!D11</f>
        <v>1.9197396963123645</v>
      </c>
      <c r="F12" s="39">
        <f>+'Dados do Setor'!E10/'Dados do Setor'!E11</f>
        <v>1.8936619718309859</v>
      </c>
      <c r="G12" s="39">
        <f>+'Dados do Setor'!F10/'Dados do Setor'!F11</f>
        <v>1.9092198581560285</v>
      </c>
      <c r="H12" s="39">
        <f>+'Dados do Setor'!G10/'Dados do Setor'!G11</f>
        <v>1.9902234636871508</v>
      </c>
    </row>
    <row r="13" spans="1:8" x14ac:dyDescent="0.3">
      <c r="A13" s="128"/>
      <c r="B13" s="128"/>
      <c r="C13" s="32" t="s">
        <v>157</v>
      </c>
      <c r="D13" s="40" t="e">
        <f>+D11-D12</f>
        <v>#DIV/0!</v>
      </c>
      <c r="E13" s="40">
        <f>+E11-E12</f>
        <v>1.7897185623776424</v>
      </c>
      <c r="F13" s="40">
        <f>+F11-F12</f>
        <v>2.2602229091731765</v>
      </c>
      <c r="G13" s="40">
        <f>+G11-G12</f>
        <v>0.36474155712902756</v>
      </c>
      <c r="H13" s="40">
        <f>+H11-H12</f>
        <v>0.38196637183903892</v>
      </c>
    </row>
    <row r="14" spans="1:8" x14ac:dyDescent="0.3">
      <c r="A14" s="126" t="s">
        <v>131</v>
      </c>
      <c r="B14" s="126" t="s">
        <v>132</v>
      </c>
      <c r="C14" s="21" t="s">
        <v>138</v>
      </c>
      <c r="D14" s="23">
        <f>+(Balanço!C50+Balanço!C59)/(Balanço!C46+Balanço!C50+Balanço!C59)</f>
        <v>0.11533289875039002</v>
      </c>
      <c r="E14" s="23">
        <f>+(Balanço!D50+Balanço!D59)/(Balanço!D46+Balanço!D50+Balanço!D59)</f>
        <v>9.9316329838738615E-2</v>
      </c>
      <c r="F14" s="23">
        <f>+(Balanço!E50+Balanço!E59)/(Balanço!E46+Balanço!E50+Balanço!E59)</f>
        <v>5.6609746169564677E-2</v>
      </c>
      <c r="G14" s="23">
        <f>+(Balanço!F50+Balanço!F59)/(Balanço!F46+Balanço!F50+Balanço!F59)</f>
        <v>0.18381541881348662</v>
      </c>
      <c r="H14" s="23">
        <f>+(Balanço!G50+Balanço!G59)/(Balanço!G46+Balanço!G50+Balanço!G59)</f>
        <v>0.31224423229879961</v>
      </c>
    </row>
    <row r="15" spans="1:8" x14ac:dyDescent="0.3">
      <c r="A15" s="127"/>
      <c r="B15" s="127"/>
      <c r="C15" s="31" t="s">
        <v>139</v>
      </c>
      <c r="D15" s="39" t="e">
        <f>+'Dados do Setor'!C19/('Dados do Setor'!C19+'Dados do Setor'!C12)</f>
        <v>#DIV/0!</v>
      </c>
      <c r="E15" s="39">
        <f>+'Dados do Setor'!D19/('Dados do Setor'!D19+'Dados do Setor'!D12)</f>
        <v>0.42982652741046212</v>
      </c>
      <c r="F15" s="39">
        <f>+'Dados do Setor'!E19/('Dados do Setor'!E19+'Dados do Setor'!E12)</f>
        <v>0.443176831943835</v>
      </c>
      <c r="G15" s="39">
        <f>+'Dados do Setor'!F19/('Dados do Setor'!F19+'Dados do Setor'!F12)</f>
        <v>0.43993010048055919</v>
      </c>
      <c r="H15" s="39">
        <f>+'Dados do Setor'!G19/('Dados do Setor'!G19+'Dados do Setor'!G12)</f>
        <v>0.38307591907765937</v>
      </c>
    </row>
    <row r="16" spans="1:8" x14ac:dyDescent="0.3">
      <c r="A16" s="128"/>
      <c r="B16" s="128"/>
      <c r="C16" s="32" t="s">
        <v>157</v>
      </c>
      <c r="D16" s="40" t="e">
        <f>+D14-D15</f>
        <v>#DIV/0!</v>
      </c>
      <c r="E16" s="40">
        <f>+E14-E15</f>
        <v>-0.33051019757172351</v>
      </c>
      <c r="F16" s="40">
        <f>+F14-F15</f>
        <v>-0.38656708577427035</v>
      </c>
      <c r="G16" s="40">
        <f>+G14-G15</f>
        <v>-0.25611468166707257</v>
      </c>
      <c r="H16" s="40">
        <f>+H14-H15</f>
        <v>-7.0831686778859759E-2</v>
      </c>
    </row>
  </sheetData>
  <mergeCells count="10">
    <mergeCell ref="A2:H2"/>
    <mergeCell ref="A11:A13"/>
    <mergeCell ref="B11:B13"/>
    <mergeCell ref="A14:A16"/>
    <mergeCell ref="B14:B16"/>
    <mergeCell ref="A4:H4"/>
    <mergeCell ref="A5:A7"/>
    <mergeCell ref="B5:B7"/>
    <mergeCell ref="A8:A10"/>
    <mergeCell ref="B8:B10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F70FA-D9C0-467A-A3FE-6BE1CC80DF44}">
  <sheetPr codeName="Folha10"/>
  <dimension ref="A2:H10"/>
  <sheetViews>
    <sheetView topLeftCell="A5" workbookViewId="0">
      <selection activeCell="E6" sqref="E6"/>
    </sheetView>
  </sheetViews>
  <sheetFormatPr defaultRowHeight="14.4" x14ac:dyDescent="0.3"/>
  <cols>
    <col min="1" max="1" width="24.44140625" customWidth="1"/>
    <col min="2" max="2" width="43.44140625" bestFit="1" customWidth="1"/>
    <col min="3" max="3" width="53.6640625" customWidth="1"/>
    <col min="11" max="11" width="10" bestFit="1" customWidth="1"/>
  </cols>
  <sheetData>
    <row r="2" spans="1:8" x14ac:dyDescent="0.3">
      <c r="A2" s="116"/>
      <c r="B2" s="116"/>
      <c r="C2" s="116"/>
      <c r="D2" s="116"/>
      <c r="E2" s="116"/>
      <c r="F2" s="116"/>
      <c r="G2" s="116"/>
      <c r="H2" s="116"/>
    </row>
    <row r="3" spans="1:8" x14ac:dyDescent="0.3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3">
      <c r="A4" s="129" t="s">
        <v>133</v>
      </c>
      <c r="B4" s="129"/>
      <c r="C4" s="129"/>
      <c r="D4" s="129"/>
      <c r="E4" s="129"/>
      <c r="F4" s="129"/>
      <c r="G4" s="129"/>
      <c r="H4" s="129"/>
    </row>
    <row r="5" spans="1:8" x14ac:dyDescent="0.3">
      <c r="A5" s="126" t="s">
        <v>134</v>
      </c>
      <c r="B5" s="126" t="s">
        <v>136</v>
      </c>
      <c r="C5" s="21" t="s">
        <v>138</v>
      </c>
      <c r="D5" s="23">
        <f>+('Demonstração de Resultados'!C26-'Demonstração de Resultados'!C30)/Balanço!C31</f>
        <v>4.888094574837322E-2</v>
      </c>
      <c r="E5" s="23">
        <f>+('Demonstração de Resultados'!D26-'Demonstração de Resultados'!D30)/Balanço!D31</f>
        <v>6.8153108599494347E-2</v>
      </c>
      <c r="F5" s="23">
        <f>+('Demonstração de Resultados'!E26-'Demonstração de Resultados'!E30)/Balanço!E31</f>
        <v>6.8476970515392158E-2</v>
      </c>
      <c r="G5" s="23">
        <f>+('Demonstração de Resultados'!F26-'Demonstração de Resultados'!F30)/Balanço!F31</f>
        <v>1.3231124137349412E-2</v>
      </c>
      <c r="H5" s="23">
        <f>+('Demonstração de Resultados'!G26-'Demonstração de Resultados'!G30)/Balanço!G31</f>
        <v>8.7012361096377583E-2</v>
      </c>
    </row>
    <row r="6" spans="1:8" x14ac:dyDescent="0.3">
      <c r="A6" s="127"/>
      <c r="B6" s="127"/>
      <c r="C6" s="31" t="s">
        <v>139</v>
      </c>
      <c r="D6" s="39" t="e">
        <f>+('Dados do Setor'!C24-'Dados do Setor'!C20)/'Dados do Setor'!C10</f>
        <v>#DIV/0!</v>
      </c>
      <c r="E6" s="39">
        <f>+('Dados do Setor'!D24-'Dados do Setor'!D20)/'Dados do Setor'!D10</f>
        <v>6.3954802259887006E-2</v>
      </c>
      <c r="F6" s="39">
        <f>+('Dados do Setor'!E24-'Dados do Setor'!E20)/'Dados do Setor'!E10</f>
        <v>1.7776124953514317E-2</v>
      </c>
      <c r="G6" s="39">
        <f>+('Dados do Setor'!F24-'Dados do Setor'!F20)/'Dados do Setor'!F10</f>
        <v>1.7830609212481426E-2</v>
      </c>
      <c r="H6" s="39">
        <f>+('Dados do Setor'!G24-'Dados do Setor'!G20)/'Dados do Setor'!G10</f>
        <v>7.9122807017543859E-2</v>
      </c>
    </row>
    <row r="7" spans="1:8" x14ac:dyDescent="0.3">
      <c r="A7" s="128"/>
      <c r="B7" s="128"/>
      <c r="C7" s="32" t="s">
        <v>157</v>
      </c>
      <c r="D7" s="40" t="e">
        <f>+D5-D6</f>
        <v>#DIV/0!</v>
      </c>
      <c r="E7" s="40">
        <f>+E5-E6</f>
        <v>4.1983063396073411E-3</v>
      </c>
      <c r="F7" s="40">
        <f>+F5-F6</f>
        <v>5.0700845561877844E-2</v>
      </c>
      <c r="G7" s="40">
        <f>+G5-G6</f>
        <v>-4.5994850751320138E-3</v>
      </c>
      <c r="H7" s="40">
        <f>+H5-H6</f>
        <v>7.8895540788337243E-3</v>
      </c>
    </row>
    <row r="8" spans="1:8" x14ac:dyDescent="0.3">
      <c r="A8" s="126" t="s">
        <v>135</v>
      </c>
      <c r="B8" s="126" t="s">
        <v>137</v>
      </c>
      <c r="C8" s="21" t="s">
        <v>138</v>
      </c>
      <c r="D8" s="23">
        <f>+'Demonstração de Resultados'!C31/Balanço!C46</f>
        <v>6.8160768436231034E-2</v>
      </c>
      <c r="E8" s="23">
        <f>+'Demonstração de Resultados'!D31/Balanço!D46</f>
        <v>9.161377993512243E-2</v>
      </c>
      <c r="F8" s="23">
        <f>+'Demonstração de Resultados'!E31/Balanço!E46</f>
        <v>8.9216359825743677E-2</v>
      </c>
      <c r="G8" s="23">
        <f>+'Demonstração de Resultados'!F31/Balanço!F46</f>
        <v>2.3236841706566425E-2</v>
      </c>
      <c r="H8" s="23">
        <f>+'Demonstração de Resultados'!G31/Balanço!G46</f>
        <v>0.14800246248309576</v>
      </c>
    </row>
    <row r="9" spans="1:8" x14ac:dyDescent="0.3">
      <c r="A9" s="127"/>
      <c r="B9" s="127"/>
      <c r="C9" s="31" t="s">
        <v>139</v>
      </c>
      <c r="D9" s="39" t="e">
        <f>+'Dados do Setor'!C9/'Dados do Setor'!C12</f>
        <v>#DIV/0!</v>
      </c>
      <c r="E9" s="39">
        <f>+'Dados do Setor'!D9/'Dados do Setor'!D12</f>
        <v>0.1110062893081761</v>
      </c>
      <c r="F9" s="39">
        <f>+'Dados do Setor'!E9/'Dados do Setor'!E12</f>
        <v>1.7336485421591805E-2</v>
      </c>
      <c r="G9" s="39">
        <f>+'Dados do Setor'!F9/'Dados do Setor'!F12</f>
        <v>2.0202808112324493E-2</v>
      </c>
      <c r="H9" s="39">
        <f>+'Dados do Setor'!G9/'Dados do Setor'!G12</f>
        <v>0.14386459802538787</v>
      </c>
    </row>
    <row r="10" spans="1:8" x14ac:dyDescent="0.3">
      <c r="A10" s="128"/>
      <c r="B10" s="128"/>
      <c r="C10" s="32" t="s">
        <v>157</v>
      </c>
      <c r="D10" s="40" t="e">
        <f>+D8-D9</f>
        <v>#DIV/0!</v>
      </c>
      <c r="E10" s="40">
        <f>+E8-E9</f>
        <v>-1.9392509373053674E-2</v>
      </c>
      <c r="F10" s="40">
        <f>+F8-F9</f>
        <v>7.1879874404151875E-2</v>
      </c>
      <c r="G10" s="40">
        <f>+G8-G9</f>
        <v>3.0340335942419319E-3</v>
      </c>
      <c r="H10" s="40">
        <f>+H8-H9</f>
        <v>4.1378644577078905E-3</v>
      </c>
    </row>
  </sheetData>
  <mergeCells count="6">
    <mergeCell ref="A2:H2"/>
    <mergeCell ref="A8:A10"/>
    <mergeCell ref="B8:B10"/>
    <mergeCell ref="A4:H4"/>
    <mergeCell ref="A5:A7"/>
    <mergeCell ref="B5:B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CA77A-F407-4664-9632-2D3CB886F14E}">
  <dimension ref="A1"/>
  <sheetViews>
    <sheetView topLeftCell="A2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Demonstração de Resultados</vt:lpstr>
      <vt:lpstr>Balanço</vt:lpstr>
      <vt:lpstr>Indicadores</vt:lpstr>
      <vt:lpstr>Dados do Setor</vt:lpstr>
      <vt:lpstr>Comparação</vt:lpstr>
      <vt:lpstr>Índice</vt:lpstr>
      <vt:lpstr>Dashboard índice</vt:lpstr>
      <vt:lpstr>Dashboard rentabilidade</vt:lpstr>
      <vt:lpstr>Backend dashboard rentabilidade</vt:lpstr>
      <vt:lpstr>Rúbricas BP Todas as dimensões</vt:lpstr>
      <vt:lpstr>Rúbricas BP Dimensão aplicável</vt:lpstr>
      <vt:lpstr>Taxa de VAB na CAE</vt:lpstr>
      <vt:lpstr>Rentabilidade Dashboard 1</vt:lpstr>
      <vt:lpstr>backend dashboard</vt:lpstr>
      <vt:lpstr>Rentabilidade do Negócio</vt:lpstr>
      <vt:lpstr>Operacionais</vt:lpstr>
      <vt:lpstr>Liquidez</vt:lpstr>
      <vt:lpstr>Financeiros</vt:lpstr>
      <vt:lpstr>Retorno</vt:lpstr>
      <vt:lpstr>Sheet1</vt:lpstr>
      <vt:lpstr>'Rentabilidade Dashboard 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</dc:creator>
  <cp:lastModifiedBy>Bruno Miguel Santos</cp:lastModifiedBy>
  <cp:lastPrinted>2023-06-23T13:40:34Z</cp:lastPrinted>
  <dcterms:created xsi:type="dcterms:W3CDTF">2023-04-05T14:58:44Z</dcterms:created>
  <dcterms:modified xsi:type="dcterms:W3CDTF">2024-02-02T17:45:24Z</dcterms:modified>
</cp:coreProperties>
</file>